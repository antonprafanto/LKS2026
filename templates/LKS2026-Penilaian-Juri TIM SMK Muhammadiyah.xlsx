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Modul A" sheetId="2" state="visible" r:id="rId2"/>
    <sheet xmlns:r="http://schemas.openxmlformats.org/officeDocument/2006/relationships" name="Modul B" sheetId="3" state="visible" r:id="rId3"/>
    <sheet xmlns:r="http://schemas.openxmlformats.org/officeDocument/2006/relationships" name="Modul C" sheetId="4" state="visible" r:id="rId4"/>
    <sheet xmlns:r="http://schemas.openxmlformats.org/officeDocument/2006/relationships" name="Modul D" sheetId="5" state="visible" r:id="rId5"/>
    <sheet xmlns:r="http://schemas.openxmlformats.org/officeDocument/2006/relationships" name="Job Arena" sheetId="6" state="visible" r:id="rId6"/>
    <sheet xmlns:r="http://schemas.openxmlformats.org/officeDocument/2006/relationships" name="Modul E" sheetId="7" state="visible" r:id="rId7"/>
    <sheet xmlns:r="http://schemas.openxmlformats.org/officeDocument/2006/relationships" name="Log Run Otonom" sheetId="8" state="visible" r:id="rId8"/>
    <sheet xmlns:r="http://schemas.openxmlformats.org/officeDocument/2006/relationships" name="Rekapitula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hh:mm:ss"/>
  </numFmts>
  <fonts count="11">
    <font>
      <name val="Calibri"/>
      <family val="2"/>
      <color theme="1"/>
      <sz val="11"/>
      <scheme val="minor"/>
    </font>
    <font>
      <b val="1"/>
      <sz val="14"/>
    </font>
    <font>
      <color rgb="000563C1"/>
      <u val="single"/>
    </font>
    <font>
      <i val="1"/>
      <color rgb="000563C1"/>
      <sz val="10"/>
      <u val="single"/>
    </font>
    <font>
      <b val="1"/>
      <color rgb="00FFFFFF"/>
    </font>
    <font>
      <b val="1"/>
    </font>
    <font>
      <b val="1"/>
      <sz val="12"/>
    </font>
    <font>
      <i val="1"/>
      <color rgb="001F4E79"/>
    </font>
    <font>
      <b val="1"/>
      <color rgb="001F4E79"/>
      <sz val="11"/>
    </font>
    <font>
      <b val="1"/>
      <color rgb="00C00000"/>
      <sz val="14"/>
    </font>
    <font>
      <i val="1"/>
      <color rgb="0040404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7" fillId="3" borderId="0" applyAlignment="1" pivotButton="0" quotePrefix="0" xfId="0">
      <alignment wrapText="1"/>
    </xf>
    <xf numFmtId="0" fontId="8" fillId="3" borderId="0" applyAlignment="1" pivotButton="0" quotePrefix="0" xfId="0">
      <alignment vertical="center" wrapText="1"/>
    </xf>
    <xf numFmtId="46" fontId="9" fillId="4" borderId="0" applyAlignment="1" pivotButton="0" quotePrefix="0" xfId="0">
      <alignment horizontal="center"/>
    </xf>
    <xf numFmtId="46" fontId="0" fillId="3" borderId="0" pivotButton="0" quotePrefix="0" xfId="0"/>
    <xf numFmtId="164" fontId="0" fillId="3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ntonprafanto/LKS2026/blob/main/docs/PANDUAN-JOB-MUHAMMADIYAH.md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ntonprafanto/LKS2026/blob/main/docs/SOP-JURI.md#5-sop-penilaian-modul-a--organisasi--manajemen-kerja-8-poin-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ntonprafanto/LKS2026/blob/main/docs/SOP-JURI.md#6-sop-penilaian-modul-b--jurnal-teknis-10-poin-j-8--m-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antonprafanto/LKS2026/blob/main/docs/SOP-JURI.md#7-sop-penilaian-modul-c--perakitan-robot-10-poin-j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antonprafanto/LKS2026/blob/main/docs/SOP-JURI.md#8-sop-penilaian-modul-d--gerakan-dasar-12-poin-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antonprafanto/LKS2026/blob/main/docs/PANDUAN-JOB-MUHAMMADIYAH.md" TargetMode="External" Id="rId1"/><Relationship Type="http://schemas.openxmlformats.org/officeDocument/2006/relationships/drawing" Target="/xl/drawings/drawing1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antonprafanto/LKS2026/blob/main/docs/PANDUAN-JOB-MUHAMMADIYAH.m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antonprafanto/LKS2026/blob/main/docs/PANDUAN-LOG-RUN.md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antonprafanto/LKS2026/blob/main/docs/SOP-JURI.md#12-rekapitulasi--ci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PANDUAN — TIM SMK MUHAMMADIYAH (Job Tetap, Modul E Manual)</t>
        </is>
      </c>
    </row>
    <row r="2">
      <c r="A2" t="inlineStr"/>
    </row>
    <row r="3">
      <c r="A3" t="inlineStr">
        <is>
          <t>VERSI INI untuk latihan / job internal Muhammadiyah — BUKAN template undian resmi LKS nasional.</t>
        </is>
      </c>
    </row>
    <row r="4">
      <c r="A4" t="inlineStr"/>
    </row>
    <row r="5">
      <c r="A5" t="inlineStr">
        <is>
          <t>1. Baca sheet JOB ARENA — denah KS1–KS9, rak, Gate, Obstacle.</t>
        </is>
      </c>
    </row>
    <row r="6">
      <c r="A6" t="inlineStr">
        <is>
          <t>2. Modul E: kolom B–G sudah terisi (posisi &amp; target). Juri isi H (Hasil Run 1/0) saja.</t>
        </is>
      </c>
    </row>
    <row r="7">
      <c r="A7" t="inlineStr">
        <is>
          <t>3. Log Run Otonom: stopwatch SIAP/START/SELESAI (.xlsm) atau Google Sheets Apps Script.</t>
        </is>
      </c>
    </row>
    <row r="8">
      <c r="A8" t="inlineStr">
        <is>
          <t>4. Modul A–D &amp; Rekapitulasi sama seperti template utama.</t>
        </is>
      </c>
    </row>
    <row r="9">
      <c r="A9" t="inlineStr"/>
    </row>
    <row r="10">
      <c r="A10" t="inlineStr">
        <is>
          <t>Sheet: Panduan | Job Arena | Modul A–E | Log Run | Rekapitulasi</t>
        </is>
      </c>
    </row>
    <row r="11">
      <c r="A11" t="inlineStr"/>
    </row>
    <row r="12">
      <c r="A12" s="2" t="inlineStr">
        <is>
          <t>Panduan lengkap: https://github.com/antonprafanto/LKS2026/blob/main/docs/PANDUAN-JOB-MUHAMMADIYAH.md</t>
        </is>
      </c>
    </row>
  </sheetData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MODUL A — Organisasi &amp; Manajemen Kerja (8 poin, Judgement)</t>
        </is>
      </c>
    </row>
    <row r="2" ht="18" customHeight="1">
      <c r="A2" s="3" t="inlineStr">
        <is>
          <t>Bingung cara nilai Modul A?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Tanggal: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</row>
    <row r="6">
      <c r="A6" s="4" t="inlineStr">
        <is>
          <t>Sub</t>
        </is>
      </c>
      <c r="B6" s="4" t="inlineStr">
        <is>
          <t>Kriteria</t>
        </is>
      </c>
      <c r="C6" s="4" t="inlineStr">
        <is>
          <t>Max</t>
        </is>
      </c>
      <c r="D6" s="4" t="inlineStr">
        <is>
          <t>Juri 1</t>
        </is>
      </c>
      <c r="E6" s="4" t="inlineStr">
        <is>
          <t>Juri 2</t>
        </is>
      </c>
      <c r="F6" s="4" t="inlineStr">
        <is>
          <t>Juri 3</t>
        </is>
      </c>
      <c r="G6" s="4" t="inlineStr">
        <is>
          <t>Rata-rata</t>
        </is>
      </c>
      <c r="H6" s="4" t="inlineStr">
        <is>
          <t>Skor Akhir</t>
        </is>
      </c>
      <c r="I6" s="4" t="inlineStr">
        <is>
          <t>Selisih</t>
        </is>
      </c>
      <c r="J6" s="4" t="inlineStr">
        <is>
          <t>Catatan</t>
        </is>
      </c>
    </row>
    <row r="7">
      <c r="A7" t="inlineStr">
        <is>
          <t>A1</t>
        </is>
      </c>
      <c r="B7" t="inlineStr">
        <is>
          <t>Efisiensi Penjadwalan Kerja</t>
        </is>
      </c>
      <c r="C7" t="n">
        <v>2</v>
      </c>
      <c r="D7" s="5" t="n"/>
      <c r="E7" s="5" t="n"/>
      <c r="F7" s="5" t="n"/>
      <c r="G7">
        <f>IF(COUNT(D7:F7)=0,"",AVERAGE(D7:F7))</f>
        <v/>
      </c>
      <c r="H7">
        <f>IF(G7="",0,G7*C7/3)</f>
        <v/>
      </c>
      <c r="I7">
        <f>IF(COUNT(D7:F7)&lt;2,"",MAX(D7:F7)-MIN(D7:F7))</f>
        <v/>
      </c>
    </row>
    <row r="8">
      <c r="A8" t="inlineStr">
        <is>
          <t>A2</t>
        </is>
      </c>
      <c r="B8" t="inlineStr">
        <is>
          <t>Kolaborasi Tim &amp; Manajemen Tugas</t>
        </is>
      </c>
      <c r="C8" t="n">
        <v>2</v>
      </c>
      <c r="D8" s="5" t="n"/>
      <c r="E8" s="5" t="n"/>
      <c r="F8" s="5" t="n"/>
      <c r="G8">
        <f>IF(COUNT(D8:F8)=0,"",AVERAGE(D8:F8))</f>
        <v/>
      </c>
      <c r="H8">
        <f>IF(G8="",0,G8*C8/3)</f>
        <v/>
      </c>
      <c r="I8">
        <f>IF(COUNT(D8:F8)&lt;2,"",MAX(D8:F8)-MIN(D8:F8))</f>
        <v/>
      </c>
    </row>
    <row r="9">
      <c r="A9" t="inlineStr">
        <is>
          <t>A3</t>
        </is>
      </c>
      <c r="B9" t="inlineStr">
        <is>
          <t>Organisasi &amp; Kerapian Area Kerja (5S)</t>
        </is>
      </c>
      <c r="C9" t="n">
        <v>2</v>
      </c>
      <c r="D9" s="5" t="n"/>
      <c r="E9" s="5" t="n"/>
      <c r="F9" s="5" t="n"/>
      <c r="G9">
        <f>IF(COUNT(D9:F9)=0,"",AVERAGE(D9:F9))</f>
        <v/>
      </c>
      <c r="H9">
        <f>IF(G9="",0,G9*C9/3)</f>
        <v/>
      </c>
      <c r="I9">
        <f>IF(COUNT(D9:F9)&lt;2,"",MAX(D9:F9)-MIN(D9:F9))</f>
        <v/>
      </c>
    </row>
    <row r="10">
      <c r="A10" t="inlineStr">
        <is>
          <t>A4</t>
        </is>
      </c>
      <c r="B10" t="inlineStr">
        <is>
          <t>Restorasi Area Kerja</t>
        </is>
      </c>
      <c r="C10" t="n">
        <v>2</v>
      </c>
      <c r="D10" s="5" t="n"/>
      <c r="E10" s="5" t="n"/>
      <c r="F10" s="5" t="n"/>
      <c r="G10">
        <f>IF(COUNT(D10:F10)=0,"",AVERAGE(D10:F10))</f>
        <v/>
      </c>
      <c r="H10">
        <f>IF(G10="",0,G10*C10/3)</f>
        <v/>
      </c>
      <c r="I10">
        <f>IF(COUNT(D10:F10)&lt;2,"",MAX(D10:F10)-MIN(D10:F10))</f>
        <v/>
      </c>
    </row>
    <row r="11">
      <c r="B11" s="6" t="inlineStr">
        <is>
          <t>TOTAL MODUL A</t>
        </is>
      </c>
      <c r="C11" t="n">
        <v>8</v>
      </c>
      <c r="H11">
        <f>SUM(H7:H10)</f>
        <v/>
      </c>
    </row>
  </sheetData>
  <mergeCells count="2">
    <mergeCell ref="A1:I1"/>
    <mergeCell ref="A2:I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20" customWidth="1" min="11" max="11"/>
  </cols>
  <sheetData>
    <row r="1">
      <c r="A1" s="1" t="inlineStr">
        <is>
          <t>MODUL B — Jurnal / Laporan Teknis (10 poin: J 8 + M 2)</t>
        </is>
      </c>
    </row>
    <row r="2" ht="18" customHeight="1">
      <c r="A2" s="3" t="inlineStr">
        <is>
          <t>Bingung cara nilai Modul B?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Deadline: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  <c r="G4" t="inlineStr">
        <is>
          <t>Tepat Waktu (1/0):</t>
        </is>
      </c>
    </row>
    <row r="6">
      <c r="A6" s="4" t="inlineStr">
        <is>
          <t>Kode</t>
        </is>
      </c>
      <c r="B6" s="4" t="inlineStr">
        <is>
          <t>Aspek</t>
        </is>
      </c>
      <c r="C6" s="4" t="inlineStr">
        <is>
          <t>Tipe</t>
        </is>
      </c>
      <c r="D6" s="4" t="inlineStr">
        <is>
          <t>Max</t>
        </is>
      </c>
      <c r="E6" s="4" t="inlineStr">
        <is>
          <t>J1</t>
        </is>
      </c>
      <c r="F6" s="4" t="inlineStr">
        <is>
          <t>J2</t>
        </is>
      </c>
      <c r="G6" s="4" t="inlineStr">
        <is>
          <t>J3</t>
        </is>
      </c>
      <c r="H6" s="4" t="inlineStr">
        <is>
          <t>Rata-rata</t>
        </is>
      </c>
      <c r="I6" s="4" t="inlineStr">
        <is>
          <t>Skor Akhir</t>
        </is>
      </c>
      <c r="J6" s="4" t="inlineStr">
        <is>
          <t>Selisih</t>
        </is>
      </c>
      <c r="K6" s="4" t="inlineStr">
        <is>
          <t>Catatan</t>
        </is>
      </c>
    </row>
    <row r="7">
      <c r="A7" t="inlineStr">
        <is>
          <t>B-J1</t>
        </is>
      </c>
      <c r="B7" t="inlineStr">
        <is>
          <t>Kualitas Fabrikasi Rangka &amp; Stabilitas</t>
        </is>
      </c>
      <c r="C7" t="inlineStr">
        <is>
          <t>J</t>
        </is>
      </c>
      <c r="D7" t="n">
        <v>1.5</v>
      </c>
      <c r="H7">
        <f>IF(COUNT(E7:G7)=0,"",AVERAGE(E7:G7))</f>
        <v/>
      </c>
      <c r="I7">
        <f>IF(H7="",0,H7*D7/3)</f>
        <v/>
      </c>
      <c r="J7">
        <f>IF(COUNT(E7:G7)&lt;2,"",MAX(E7:G7)-MIN(E7:G7))</f>
        <v/>
      </c>
    </row>
    <row r="8">
      <c r="A8" t="inlineStr">
        <is>
          <t>B-J2</t>
        </is>
      </c>
      <c r="B8" t="inlineStr">
        <is>
          <t>Manajemen Pengkabelan (Wiring)</t>
        </is>
      </c>
      <c r="C8" t="inlineStr">
        <is>
          <t>J</t>
        </is>
      </c>
      <c r="D8" t="n">
        <v>1.5</v>
      </c>
      <c r="H8">
        <f>IF(COUNT(E8:G8)=0,"",AVERAGE(E8:G8))</f>
        <v/>
      </c>
      <c r="I8">
        <f>IF(H8="",0,H8*D8/3)</f>
        <v/>
      </c>
      <c r="J8">
        <f>IF(COUNT(E8:G8)&lt;2,"",MAX(E8:G8)-MIN(E8:G8))</f>
        <v/>
      </c>
    </row>
    <row r="9">
      <c r="A9" t="inlineStr">
        <is>
          <t>B-J3</t>
        </is>
      </c>
      <c r="B9" t="inlineStr">
        <is>
          <t>Integrasi Sistem Penggerak</t>
        </is>
      </c>
      <c r="C9" t="inlineStr">
        <is>
          <t>J</t>
        </is>
      </c>
      <c r="D9" t="n">
        <v>1.5</v>
      </c>
      <c r="H9">
        <f>IF(COUNT(E9:G9)=0,"",AVERAGE(E9:G9))</f>
        <v/>
      </c>
      <c r="I9">
        <f>IF(H9="",0,H9*D9/3)</f>
        <v/>
      </c>
      <c r="J9">
        <f>IF(COUNT(E9:G9)&lt;2,"",MAX(E9:G9)-MIN(E9:G9))</f>
        <v/>
      </c>
    </row>
    <row r="10">
      <c r="A10" t="inlineStr">
        <is>
          <t>B-J4</t>
        </is>
      </c>
      <c r="B10" t="inlineStr">
        <is>
          <t>Kalibrasi Sensor &amp; Aktuator</t>
        </is>
      </c>
      <c r="C10" t="inlineStr">
        <is>
          <t>J</t>
        </is>
      </c>
      <c r="D10" t="n">
        <v>1.5</v>
      </c>
      <c r="H10">
        <f>IF(COUNT(E10:G10)=0,"",AVERAGE(E10:G10))</f>
        <v/>
      </c>
      <c r="I10">
        <f>IF(H10="",0,H10*D10/3)</f>
        <v/>
      </c>
      <c r="J10">
        <f>IF(COUNT(E10:G10)&lt;2,"",MAX(E10:G10)-MIN(E10:G10))</f>
        <v/>
      </c>
    </row>
    <row r="11">
      <c r="A11" t="inlineStr">
        <is>
          <t>B-J5</t>
        </is>
      </c>
      <c r="B11" t="inlineStr">
        <is>
          <t>Optimasi Software-Hardware</t>
        </is>
      </c>
      <c r="C11" t="inlineStr">
        <is>
          <t>J</t>
        </is>
      </c>
      <c r="D11" t="n">
        <v>1.5</v>
      </c>
      <c r="H11">
        <f>IF(COUNT(E11:G11)=0,"",AVERAGE(E11:G11))</f>
        <v/>
      </c>
      <c r="I11">
        <f>IF(H11="",0,H11*D11/3)</f>
        <v/>
      </c>
      <c r="J11">
        <f>IF(COUNT(E11:G11)&lt;2,"",MAX(E11:G11)-MIN(E11:G11))</f>
        <v/>
      </c>
    </row>
    <row r="12">
      <c r="A12" t="inlineStr">
        <is>
          <t>B-J6</t>
        </is>
      </c>
      <c r="B12" t="inlineStr">
        <is>
          <t>Kelengkapan Dokumentasi</t>
        </is>
      </c>
      <c r="C12" t="inlineStr">
        <is>
          <t>J</t>
        </is>
      </c>
      <c r="D12" t="n">
        <v>0.5</v>
      </c>
      <c r="H12">
        <f>IF(COUNT(E12:G12)=0,"",AVERAGE(E12:G12))</f>
        <v/>
      </c>
      <c r="I12">
        <f>IF(H12="",0,H12*D12/3)</f>
        <v/>
      </c>
      <c r="J12">
        <f>IF(COUNT(E12:G12)&lt;2,"",MAX(E12:G12)-MIN(E12:G12))</f>
        <v/>
      </c>
    </row>
    <row r="13">
      <c r="B13" s="6" t="inlineStr">
        <is>
          <t>SUBTOTAL JUDGEMENT</t>
        </is>
      </c>
      <c r="D13" t="n">
        <v>8</v>
      </c>
      <c r="I13">
        <f>SUM(I7:I12)</f>
        <v/>
      </c>
    </row>
    <row r="14">
      <c r="A14" t="inlineStr">
        <is>
          <t>B-M1</t>
        </is>
      </c>
      <c r="B14" t="inlineStr">
        <is>
          <t>Ketepatan Mengumpulkan sesuai Waktu</t>
        </is>
      </c>
      <c r="C14" t="inlineStr">
        <is>
          <t>M</t>
        </is>
      </c>
      <c r="D14" t="n">
        <v>2</v>
      </c>
      <c r="I14">
        <f>IF(G4="",0,G4*D14)</f>
        <v/>
      </c>
    </row>
    <row r="15">
      <c r="B15" s="6" t="inlineStr">
        <is>
          <t>TOTAL MODUL B</t>
        </is>
      </c>
      <c r="D15" t="n">
        <v>10</v>
      </c>
      <c r="I15">
        <f>I13+I14</f>
        <v/>
      </c>
    </row>
    <row r="17">
      <c r="A17" s="6" t="inlineStr">
        <is>
          <t>CHECKLIST KELENGKAPAN (1=ada)</t>
        </is>
      </c>
    </row>
    <row r="18">
      <c r="A18" t="inlineStr">
        <is>
          <t>C1</t>
        </is>
      </c>
      <c r="B18" t="inlineStr">
        <is>
          <t>Analisis Tugas &amp; Strategi</t>
        </is>
      </c>
      <c r="C18" t="inlineStr"/>
    </row>
    <row r="19">
      <c r="A19" t="inlineStr">
        <is>
          <t>C2</t>
        </is>
      </c>
      <c r="B19" t="inlineStr">
        <is>
          <t>Desain Mekanik</t>
        </is>
      </c>
      <c r="C19" t="inlineStr"/>
    </row>
    <row r="20">
      <c r="A20" t="inlineStr">
        <is>
          <t>C3</t>
        </is>
      </c>
      <c r="B20" t="inlineStr">
        <is>
          <t>Diagram Blok</t>
        </is>
      </c>
      <c r="C20" t="inlineStr"/>
    </row>
    <row r="21">
      <c r="A21" t="inlineStr">
        <is>
          <t>C4</t>
        </is>
      </c>
      <c r="B21" t="inlineStr">
        <is>
          <t>Bill of Materials</t>
        </is>
      </c>
      <c r="C21" t="inlineStr"/>
    </row>
    <row r="22">
      <c r="A22" t="inlineStr">
        <is>
          <t>C5</t>
        </is>
      </c>
      <c r="B22" t="inlineStr">
        <is>
          <t>Dokumentasi Fabrikasi</t>
        </is>
      </c>
      <c r="C22" t="inlineStr"/>
    </row>
    <row r="23">
      <c r="A23" t="inlineStr">
        <is>
          <t>C6</t>
        </is>
      </c>
      <c r="B23" t="inlineStr">
        <is>
          <t>Manajemen Kelistrikan</t>
        </is>
      </c>
      <c r="C23" t="inlineStr"/>
    </row>
    <row r="24">
      <c r="A24" t="inlineStr">
        <is>
          <t>C7</t>
        </is>
      </c>
      <c r="B24" t="inlineStr">
        <is>
          <t>Penempatan Sensor</t>
        </is>
      </c>
      <c r="C24" t="inlineStr"/>
    </row>
    <row r="25">
      <c r="A25" t="inlineStr">
        <is>
          <t>C8</t>
        </is>
      </c>
      <c r="B25" t="inlineStr">
        <is>
          <t>Arsitektur Software</t>
        </is>
      </c>
      <c r="C25" t="inlineStr"/>
    </row>
    <row r="26">
      <c r="A26" t="inlineStr">
        <is>
          <t>C9</t>
        </is>
      </c>
      <c r="B26" t="inlineStr">
        <is>
          <t>Algoritma Navigasi</t>
        </is>
      </c>
      <c r="C26" t="inlineStr"/>
    </row>
    <row r="27">
      <c r="A27" t="inlineStr">
        <is>
          <t>C10</t>
        </is>
      </c>
      <c r="B27" t="inlineStr">
        <is>
          <t>Algoritma Visi</t>
        </is>
      </c>
      <c r="C27" t="inlineStr"/>
    </row>
    <row r="28">
      <c r="A28" t="inlineStr">
        <is>
          <t>C11</t>
        </is>
      </c>
      <c r="B28" t="inlineStr">
        <is>
          <t>Flowchart</t>
        </is>
      </c>
      <c r="C28" t="inlineStr"/>
    </row>
    <row r="29">
      <c r="A29" t="inlineStr">
        <is>
          <t>C12</t>
        </is>
      </c>
      <c r="B29" t="inlineStr">
        <is>
          <t>Data Kalibrasi</t>
        </is>
      </c>
      <c r="C29" t="inlineStr"/>
    </row>
    <row r="30">
      <c r="A30" t="inlineStr">
        <is>
          <t>C13</t>
        </is>
      </c>
      <c r="B30" t="inlineStr">
        <is>
          <t>Tuning Kontroler</t>
        </is>
      </c>
      <c r="C30" t="inlineStr"/>
    </row>
    <row r="31">
      <c r="A31" t="inlineStr">
        <is>
          <t>C14</t>
        </is>
      </c>
      <c r="B31" t="inlineStr">
        <is>
          <t>Log Troubleshooting</t>
        </is>
      </c>
      <c r="C31" t="inlineStr"/>
    </row>
  </sheetData>
  <mergeCells count="2">
    <mergeCell ref="A2:K2"/>
    <mergeCell ref="A1:K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22" customWidth="1" min="10" max="10"/>
  </cols>
  <sheetData>
    <row r="1">
      <c r="A1" s="1" t="inlineStr">
        <is>
          <t>MODUL C — Pembuatan &amp; Perakitan Robot (10 poin, Judgement)</t>
        </is>
      </c>
    </row>
    <row r="2" ht="18" customHeight="1">
      <c r="A2" s="3" t="inlineStr">
        <is>
          <t>Bingung cara nilai Modul C?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Waktu Mulai:</t>
        </is>
      </c>
      <c r="G3" t="inlineStr">
        <is>
          <t>Waktu Selesai:</t>
        </is>
      </c>
      <c r="I3" t="inlineStr">
        <is>
          <t>Durasi (jam):</t>
        </is>
      </c>
    </row>
    <row r="4">
      <c r="A4" t="inlineStr">
        <is>
          <t>Juri 1:</t>
        </is>
      </c>
      <c r="C4" t="inlineStr">
        <is>
          <t>Juri 2:</t>
        </is>
      </c>
      <c r="E4" t="inlineStr">
        <is>
          <t>Juri 3:</t>
        </is>
      </c>
    </row>
    <row r="6">
      <c r="A6" s="4" t="inlineStr">
        <is>
          <t>Sub</t>
        </is>
      </c>
      <c r="B6" s="4" t="inlineStr">
        <is>
          <t>Kriteria</t>
        </is>
      </c>
      <c r="C6" s="4" t="inlineStr">
        <is>
          <t>Max</t>
        </is>
      </c>
      <c r="D6" s="4" t="inlineStr">
        <is>
          <t>J1</t>
        </is>
      </c>
      <c r="E6" s="4" t="inlineStr">
        <is>
          <t>J2</t>
        </is>
      </c>
      <c r="F6" s="4" t="inlineStr">
        <is>
          <t>J3</t>
        </is>
      </c>
      <c r="G6" s="4" t="inlineStr">
        <is>
          <t>Rata-rata</t>
        </is>
      </c>
      <c r="H6" s="4" t="inlineStr">
        <is>
          <t>Skor Akhir</t>
        </is>
      </c>
      <c r="I6" s="4" t="inlineStr">
        <is>
          <t>Selisih</t>
        </is>
      </c>
      <c r="J6" s="4" t="inlineStr">
        <is>
          <t>Catatan</t>
        </is>
      </c>
    </row>
    <row r="7">
      <c r="A7" t="inlineStr">
        <is>
          <t>C1</t>
        </is>
      </c>
      <c r="B7" t="inlineStr">
        <is>
          <t>Perakitan L-Channel sebagai Penyangga Utama Lift</t>
        </is>
      </c>
      <c r="C7" t="n">
        <v>2.5</v>
      </c>
      <c r="D7" s="5" t="n"/>
      <c r="E7" s="5" t="n"/>
      <c r="F7" s="5" t="n"/>
      <c r="G7">
        <f>IF(COUNT(D7:F7)=0,"",AVERAGE(D7:F7))</f>
        <v/>
      </c>
      <c r="H7">
        <f>IF(G7="",0,G7*C7/3)</f>
        <v/>
      </c>
      <c r="I7">
        <f>IF(COUNT(D7:F7)&lt;2,"",MAX(D7:F7)-MIN(D7:F7))</f>
        <v/>
      </c>
    </row>
    <row r="8">
      <c r="A8" t="inlineStr">
        <is>
          <t>C2</t>
        </is>
      </c>
      <c r="B8" t="inlineStr">
        <is>
          <t>Integrasi Sistem Angkat / Gripper / Lifter</t>
        </is>
      </c>
      <c r="C8" t="n">
        <v>2.5</v>
      </c>
      <c r="D8" s="5" t="n"/>
      <c r="E8" s="5" t="n"/>
      <c r="F8" s="5" t="n"/>
      <c r="G8">
        <f>IF(COUNT(D8:F8)=0,"",AVERAGE(D8:F8))</f>
        <v/>
      </c>
      <c r="H8">
        <f>IF(G8="",0,G8*C8/3)</f>
        <v/>
      </c>
      <c r="I8">
        <f>IF(COUNT(D8:F8)&lt;2,"",MAX(D8:F8)-MIN(D8:F8))</f>
        <v/>
      </c>
    </row>
    <row r="9">
      <c r="A9" t="inlineStr">
        <is>
          <t>C3</t>
        </is>
      </c>
      <c r="B9" t="inlineStr">
        <is>
          <t>Kualitas Rewiring (rapi, aman)</t>
        </is>
      </c>
      <c r="C9" t="n">
        <v>2.5</v>
      </c>
      <c r="D9" s="5" t="n"/>
      <c r="E9" s="5" t="n"/>
      <c r="F9" s="5" t="n"/>
      <c r="G9">
        <f>IF(COUNT(D9:F9)=0,"",AVERAGE(D9:F9))</f>
        <v/>
      </c>
      <c r="H9">
        <f>IF(G9="",0,G9*C9/3)</f>
        <v/>
      </c>
      <c r="I9">
        <f>IF(COUNT(D9:F9)&lt;2,"",MAX(D9:F9)-MIN(D9:F9))</f>
        <v/>
      </c>
    </row>
    <row r="10">
      <c r="A10" t="inlineStr">
        <is>
          <t>C4</t>
        </is>
      </c>
      <c r="B10" t="inlineStr">
        <is>
          <t>Kelayakan Operasional (STOP, struktur stabil)</t>
        </is>
      </c>
      <c r="C10" t="n">
        <v>2.5</v>
      </c>
      <c r="D10" s="5" t="n"/>
      <c r="E10" s="5" t="n"/>
      <c r="F10" s="5" t="n"/>
      <c r="G10">
        <f>IF(COUNT(D10:F10)=0,"",AVERAGE(D10:F10))</f>
        <v/>
      </c>
      <c r="H10">
        <f>IF(G10="",0,G10*C10/3)</f>
        <v/>
      </c>
      <c r="I10">
        <f>IF(COUNT(D10:F10)&lt;2,"",MAX(D10:F10)-MIN(D10:F10))</f>
        <v/>
      </c>
    </row>
    <row r="11">
      <c r="B11" s="6" t="inlineStr">
        <is>
          <t>TOTAL MODUL C</t>
        </is>
      </c>
      <c r="C11" t="n">
        <v>10</v>
      </c>
      <c r="H11">
        <f>SUM(H7:H10)</f>
        <v/>
      </c>
    </row>
    <row r="13">
      <c r="A13" s="6" t="inlineStr">
        <is>
          <t>CHECKLIST INSPEKSI (1=Lulus 0=Tidak)</t>
        </is>
      </c>
    </row>
    <row r="14">
      <c r="A14" t="inlineStr">
        <is>
          <t>I1</t>
        </is>
      </c>
      <c r="B14" t="inlineStr">
        <is>
          <t>L-Channel sebagai penyangga utama angkat</t>
        </is>
      </c>
    </row>
    <row r="15">
      <c r="A15" t="inlineStr">
        <is>
          <t>I2</t>
        </is>
      </c>
      <c r="B15" t="inlineStr">
        <is>
          <t>Sistem objek terpasang kuat di L-Channel</t>
        </is>
      </c>
    </row>
    <row r="16">
      <c r="A16" t="inlineStr">
        <is>
          <t>I3</t>
        </is>
      </c>
      <c r="B16" t="inlineStr">
        <is>
          <t>Tidak ada kabel terbuka/terjepit</t>
        </is>
      </c>
    </row>
    <row r="17">
      <c r="A17" t="inlineStr">
        <is>
          <t>I4</t>
        </is>
      </c>
      <c r="B17" t="inlineStr">
        <is>
          <t>Tombol STOP merah berfungsi</t>
        </is>
      </c>
    </row>
    <row r="18">
      <c r="A18" t="inlineStr">
        <is>
          <t>I5</t>
        </is>
      </c>
      <c r="B18" t="inlineStr">
        <is>
          <t>Selesai dalam batas 2 jam</t>
        </is>
      </c>
    </row>
    <row r="19">
      <c r="A19" t="inlineStr">
        <is>
          <t>I6</t>
        </is>
      </c>
      <c r="B19" t="inlineStr">
        <is>
          <t>Robot aman dioperasikan (K3)</t>
        </is>
      </c>
    </row>
  </sheetData>
  <mergeCells count="2">
    <mergeCell ref="A1:J1"/>
    <mergeCell ref="A2:J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8" customWidth="1" min="4" max="4"/>
    <col width="12" customWidth="1" min="5" max="5"/>
    <col width="10" customWidth="1" min="6" max="6"/>
    <col width="24" customWidth="1" min="7" max="7"/>
  </cols>
  <sheetData>
    <row r="1">
      <c r="A1" s="1" t="inlineStr">
        <is>
          <t>MODUL D — Gerakan Dasar &amp; Manajemen Objek (12 poin, Measurement)</t>
        </is>
      </c>
    </row>
    <row r="2" ht="18" customHeight="1">
      <c r="A2" s="3" t="inlineStr">
        <is>
          <t>Bingung cara nilai Modul D?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Tanggal:</t>
        </is>
      </c>
    </row>
    <row r="4">
      <c r="A4" t="inlineStr">
        <is>
          <t>Juri Penilai:</t>
        </is>
      </c>
    </row>
    <row r="6">
      <c r="A6" s="4" t="inlineStr">
        <is>
          <t>ID</t>
        </is>
      </c>
      <c r="B6" s="4" t="inlineStr">
        <is>
          <t>Evaluasi</t>
        </is>
      </c>
      <c r="C6" s="4" t="inlineStr">
        <is>
          <t>Indikator</t>
        </is>
      </c>
      <c r="D6" s="4" t="inlineStr">
        <is>
          <t>Bobot</t>
        </is>
      </c>
      <c r="E6" s="4" t="inlineStr">
        <is>
          <t>Hasil (1/0)</t>
        </is>
      </c>
      <c r="F6" s="4" t="inlineStr">
        <is>
          <t>Skor</t>
        </is>
      </c>
      <c r="G6" s="4" t="inlineStr">
        <is>
          <t>Catatan</t>
        </is>
      </c>
    </row>
    <row r="7">
      <c r="A7" t="inlineStr">
        <is>
          <t>D1a</t>
        </is>
      </c>
      <c r="B7" t="inlineStr">
        <is>
          <t>Gerak maju 200-300 mm</t>
        </is>
      </c>
      <c r="C7" t="inlineStr">
        <is>
          <t>Observasi</t>
        </is>
      </c>
      <c r="D7" t="n">
        <v>0.5</v>
      </c>
      <c r="F7">
        <f>IF(E7="",0,E7*D7)</f>
        <v/>
      </c>
    </row>
    <row r="8">
      <c r="A8" t="inlineStr">
        <is>
          <t>D1b</t>
        </is>
      </c>
      <c r="B8" t="inlineStr">
        <is>
          <t>Gerak mundur 200-300 mm</t>
        </is>
      </c>
      <c r="C8" t="inlineStr">
        <is>
          <t>Observasi</t>
        </is>
      </c>
      <c r="D8" t="n">
        <v>0.5</v>
      </c>
      <c r="F8">
        <f>IF(E8="",0,E8*D8)</f>
        <v/>
      </c>
    </row>
    <row r="9">
      <c r="A9" t="inlineStr">
        <is>
          <t>D1c</t>
        </is>
      </c>
      <c r="B9" t="inlineStr">
        <is>
          <t>Gerak kanan 200-300 mm</t>
        </is>
      </c>
      <c r="C9" t="inlineStr">
        <is>
          <t>Observasi</t>
        </is>
      </c>
      <c r="D9" t="n">
        <v>0.5</v>
      </c>
      <c r="F9">
        <f>IF(E9="",0,E9*D9)</f>
        <v/>
      </c>
    </row>
    <row r="10">
      <c r="A10" t="inlineStr">
        <is>
          <t>D1d</t>
        </is>
      </c>
      <c r="B10" t="inlineStr">
        <is>
          <t>Gerak kiri 200-300 mm</t>
        </is>
      </c>
      <c r="C10" t="inlineStr">
        <is>
          <t>Observasi</t>
        </is>
      </c>
      <c r="D10" t="n">
        <v>0.5</v>
      </c>
      <c r="F10">
        <f>IF(E10="",0,E10*D10)</f>
        <v/>
      </c>
    </row>
    <row r="11">
      <c r="A11" t="inlineStr">
        <is>
          <t>D2a</t>
        </is>
      </c>
      <c r="B11" t="inlineStr">
        <is>
          <t>Maju stop 50-100 mm dari dinding</t>
        </is>
      </c>
      <c r="C11" t="inlineStr">
        <is>
          <t>Observasi</t>
        </is>
      </c>
      <c r="D11" t="n">
        <v>0.3</v>
      </c>
      <c r="F11">
        <f>IF(E11="",0,E11*D11)</f>
        <v/>
      </c>
    </row>
    <row r="12">
      <c r="A12" t="inlineStr">
        <is>
          <t>D2b</t>
        </is>
      </c>
      <c r="B12" t="inlineStr">
        <is>
          <t>Kanan stop 50-100 mm dari dinding</t>
        </is>
      </c>
      <c r="C12" t="inlineStr">
        <is>
          <t>Observasi</t>
        </is>
      </c>
      <c r="D12" t="n">
        <v>0.6</v>
      </c>
      <c r="F12">
        <f>IF(E12="",0,E12*D12)</f>
        <v/>
      </c>
    </row>
    <row r="13">
      <c r="A13" t="inlineStr">
        <is>
          <t>D3</t>
        </is>
      </c>
      <c r="B13" t="inlineStr">
        <is>
          <t>Ikuti garis U</t>
        </is>
      </c>
      <c r="C13" t="inlineStr">
        <is>
          <t>Line follower</t>
        </is>
      </c>
      <c r="D13" t="n">
        <v>1</v>
      </c>
      <c r="F13">
        <f>IF(E13="",0,E13*D13)</f>
        <v/>
      </c>
    </row>
    <row r="14">
      <c r="A14" t="inlineStr">
        <is>
          <t>D4</t>
        </is>
      </c>
      <c r="B14" t="inlineStr">
        <is>
          <t>Deteksi merah → teks merah</t>
        </is>
      </c>
      <c r="C14" t="inlineStr">
        <is>
          <t>Monitor</t>
        </is>
      </c>
      <c r="D14" t="n">
        <v>1</v>
      </c>
      <c r="F14">
        <f>IF(E14="",0,E14*D14)</f>
        <v/>
      </c>
    </row>
    <row r="15">
      <c r="A15" t="inlineStr">
        <is>
          <t>D5</t>
        </is>
      </c>
      <c r="B15" t="inlineStr">
        <is>
          <t>Deteksi hijau → teks hijau</t>
        </is>
      </c>
      <c r="C15" t="inlineStr">
        <is>
          <t>Monitor</t>
        </is>
      </c>
      <c r="D15" t="n">
        <v>1</v>
      </c>
      <c r="F15">
        <f>IF(E15="",0,E15*D15)</f>
        <v/>
      </c>
    </row>
    <row r="16">
      <c r="A16" t="inlineStr">
        <is>
          <t>D6</t>
        </is>
      </c>
      <c r="B16" t="inlineStr">
        <is>
          <t>Deteksi biru → teks biru</t>
        </is>
      </c>
      <c r="C16" t="inlineStr">
        <is>
          <t>Monitor</t>
        </is>
      </c>
      <c r="D16" t="n">
        <v>1</v>
      </c>
      <c r="F16">
        <f>IF(E16="",0,E16*D16)</f>
        <v/>
      </c>
    </row>
    <row r="17">
      <c r="A17" t="inlineStr">
        <is>
          <t>D7</t>
        </is>
      </c>
      <c r="B17" t="inlineStr">
        <is>
          <t>Deteksi O-merah</t>
        </is>
      </c>
      <c r="C17" t="inlineStr">
        <is>
          <t>Monitor</t>
        </is>
      </c>
      <c r="D17" t="n">
        <v>1</v>
      </c>
      <c r="F17">
        <f>IF(E17="",0,E17*D17)</f>
        <v/>
      </c>
    </row>
    <row r="18">
      <c r="A18" t="inlineStr">
        <is>
          <t>D8</t>
        </is>
      </c>
      <c r="B18" t="inlineStr">
        <is>
          <t>Deteksi O-hijau</t>
        </is>
      </c>
      <c r="C18" t="inlineStr">
        <is>
          <t>Monitor</t>
        </is>
      </c>
      <c r="D18" t="n">
        <v>1</v>
      </c>
      <c r="F18">
        <f>IF(E18="",0,E18*D18)</f>
        <v/>
      </c>
    </row>
    <row r="19">
      <c r="A19" t="inlineStr">
        <is>
          <t>D9</t>
        </is>
      </c>
      <c r="B19" t="inlineStr">
        <is>
          <t>Pick kubus dari rak otonom</t>
        </is>
      </c>
      <c r="C19" t="inlineStr">
        <is>
          <t>Observasi arm</t>
        </is>
      </c>
      <c r="D19" t="n">
        <v>2</v>
      </c>
      <c r="F19">
        <f>IF(E19="",0,E19*D19)</f>
        <v/>
      </c>
    </row>
    <row r="20">
      <c r="A20" t="inlineStr">
        <is>
          <t>D10</t>
        </is>
      </c>
      <c r="B20" t="inlineStr">
        <is>
          <t>Place kubus ke standbox</t>
        </is>
      </c>
      <c r="C20" t="inlineStr">
        <is>
          <t>Observasi arm</t>
        </is>
      </c>
      <c r="D20" t="n">
        <v>2</v>
      </c>
      <c r="F20">
        <f>IF(E20="",0,E20*D20)</f>
        <v/>
      </c>
    </row>
    <row r="21">
      <c r="B21" s="6" t="inlineStr">
        <is>
          <t>TOTAL (skala 12)</t>
        </is>
      </c>
      <c r="D21" t="n">
        <v>12</v>
      </c>
      <c r="F21">
        <f>ROUND(SUM(F7:F20)*12/12.9,2)</f>
        <v/>
      </c>
      <c r="G21" t="inlineStr">
        <is>
          <t>Bobot mentah item = 12.9</t>
        </is>
      </c>
    </row>
  </sheetData>
  <mergeCells count="2">
    <mergeCell ref="A2:G2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JOB ARENA — SMK MUHAMMADIYAH (layout tetap)</t>
        </is>
      </c>
    </row>
    <row r="2" ht="18" customHeight="1">
      <c r="A2" s="3" t="inlineStr">
        <is>
          <t>Panduan job Muhammadiyah di GitHub (klik di sini)</t>
        </is>
      </c>
    </row>
    <row r="28">
      <c r="A28" s="7" t="inlineStr">
        <is>
          <t>KATALOG KUBUS</t>
        </is>
      </c>
    </row>
    <row r="29">
      <c r="A29" s="4" t="inlineStr">
        <is>
          <t>ID Kubus</t>
        </is>
      </c>
      <c r="B29" s="4" t="inlineStr">
        <is>
          <t>Warna</t>
        </is>
      </c>
      <c r="C29" s="4" t="inlineStr">
        <is>
          <t>Bentuk</t>
        </is>
      </c>
      <c r="D29" s="4" t="inlineStr">
        <is>
          <t>Stand (KS)</t>
        </is>
      </c>
      <c r="E29" s="4" t="inlineStr">
        <is>
          <t>Target Rak</t>
        </is>
      </c>
      <c r="F29" s="4" t="inlineStr">
        <is>
          <t>Slot warna</t>
        </is>
      </c>
    </row>
    <row r="30">
      <c r="A30" t="inlineStr">
        <is>
          <t>K-M1</t>
        </is>
      </c>
      <c r="B30" t="inlineStr">
        <is>
          <t>Merah</t>
        </is>
      </c>
      <c r="C30" t="inlineStr">
        <is>
          <t>Lingkaran</t>
        </is>
      </c>
      <c r="D30" t="inlineStr">
        <is>
          <t>KS7</t>
        </is>
      </c>
      <c r="E30" t="inlineStr">
        <is>
          <t>Rak 1 (Lingkaran)</t>
        </is>
      </c>
      <c r="F30" t="inlineStr">
        <is>
          <t>Merah</t>
        </is>
      </c>
    </row>
    <row r="31">
      <c r="A31" t="inlineStr">
        <is>
          <t>K-M2</t>
        </is>
      </c>
      <c r="B31" t="inlineStr">
        <is>
          <t>Merah</t>
        </is>
      </c>
      <c r="C31" t="inlineStr">
        <is>
          <t>Persegi</t>
        </is>
      </c>
      <c r="D31" t="inlineStr">
        <is>
          <t>KS4</t>
        </is>
      </c>
      <c r="E31" t="inlineStr">
        <is>
          <t>Rak 2 (Persegi)</t>
        </is>
      </c>
      <c r="F31" t="inlineStr">
        <is>
          <t>Merah</t>
        </is>
      </c>
    </row>
    <row r="32">
      <c r="A32" t="inlineStr">
        <is>
          <t>K-M3</t>
        </is>
      </c>
      <c r="B32" t="inlineStr">
        <is>
          <t>Merah</t>
        </is>
      </c>
      <c r="C32" t="inlineStr">
        <is>
          <t>Segitiga</t>
        </is>
      </c>
      <c r="D32" t="inlineStr">
        <is>
          <t>KS1</t>
        </is>
      </c>
      <c r="E32" t="inlineStr">
        <is>
          <t>Rak 3 (Segitiga)</t>
        </is>
      </c>
      <c r="F32" t="inlineStr">
        <is>
          <t>Merah</t>
        </is>
      </c>
    </row>
    <row r="33">
      <c r="A33" t="inlineStr">
        <is>
          <t>K-H1</t>
        </is>
      </c>
      <c r="B33" t="inlineStr">
        <is>
          <t>Hijau</t>
        </is>
      </c>
      <c r="C33" t="inlineStr">
        <is>
          <t>Lingkaran</t>
        </is>
      </c>
      <c r="D33" t="inlineStr">
        <is>
          <t>KS8</t>
        </is>
      </c>
      <c r="E33" t="inlineStr">
        <is>
          <t>Rak 1 (Lingkaran)</t>
        </is>
      </c>
      <c r="F33" t="inlineStr">
        <is>
          <t>Hijau</t>
        </is>
      </c>
    </row>
    <row r="34">
      <c r="A34" t="inlineStr">
        <is>
          <t>K-H2</t>
        </is>
      </c>
      <c r="B34" t="inlineStr">
        <is>
          <t>Hijau</t>
        </is>
      </c>
      <c r="C34" t="inlineStr">
        <is>
          <t>Persegi</t>
        </is>
      </c>
      <c r="D34" t="inlineStr">
        <is>
          <t>KS5</t>
        </is>
      </c>
      <c r="E34" t="inlineStr">
        <is>
          <t>Rak 2 (Persegi)</t>
        </is>
      </c>
      <c r="F34" t="inlineStr">
        <is>
          <t>Hijau</t>
        </is>
      </c>
    </row>
    <row r="35">
      <c r="A35" t="inlineStr">
        <is>
          <t>K-H3</t>
        </is>
      </c>
      <c r="B35" t="inlineStr">
        <is>
          <t>Hijau</t>
        </is>
      </c>
      <c r="C35" t="inlineStr">
        <is>
          <t>Segitiga</t>
        </is>
      </c>
      <c r="D35" t="inlineStr">
        <is>
          <t>KS2</t>
        </is>
      </c>
      <c r="E35" t="inlineStr">
        <is>
          <t>Rak 3 (Segitiga)</t>
        </is>
      </c>
      <c r="F35" t="inlineStr">
        <is>
          <t>Hijau</t>
        </is>
      </c>
    </row>
    <row r="36">
      <c r="A36" t="inlineStr">
        <is>
          <t>K-B1</t>
        </is>
      </c>
      <c r="B36" t="inlineStr">
        <is>
          <t>Biru</t>
        </is>
      </c>
      <c r="C36" t="inlineStr">
        <is>
          <t>Lingkaran</t>
        </is>
      </c>
      <c r="D36" t="inlineStr">
        <is>
          <t>KS9</t>
        </is>
      </c>
      <c r="E36" t="inlineStr">
        <is>
          <t>Rak 1 (Lingkaran)</t>
        </is>
      </c>
      <c r="F36" t="inlineStr">
        <is>
          <t>Biru</t>
        </is>
      </c>
    </row>
    <row r="37">
      <c r="A37" t="inlineStr">
        <is>
          <t>K-B2</t>
        </is>
      </c>
      <c r="B37" t="inlineStr">
        <is>
          <t>Biru</t>
        </is>
      </c>
      <c r="C37" t="inlineStr">
        <is>
          <t>Persegi</t>
        </is>
      </c>
      <c r="D37" t="inlineStr">
        <is>
          <t>KS6</t>
        </is>
      </c>
      <c r="E37" t="inlineStr">
        <is>
          <t>Rak 2 (Persegi)</t>
        </is>
      </c>
      <c r="F37" t="inlineStr">
        <is>
          <t>Biru</t>
        </is>
      </c>
    </row>
    <row r="38">
      <c r="A38" t="inlineStr">
        <is>
          <t>K-B3</t>
        </is>
      </c>
      <c r="B38" t="inlineStr">
        <is>
          <t>Biru</t>
        </is>
      </c>
      <c r="C38" t="inlineStr">
        <is>
          <t>Segitiga</t>
        </is>
      </c>
      <c r="D38" t="inlineStr">
        <is>
          <t>KS3</t>
        </is>
      </c>
      <c r="E38" t="inlineStr">
        <is>
          <t>Rak 3 (Segitiga)</t>
        </is>
      </c>
      <c r="F38" t="inlineStr">
        <is>
          <t>Biru</t>
        </is>
      </c>
    </row>
    <row r="40">
      <c r="A40" s="7" t="inlineStr">
        <is>
          <t>POSISI STAND (KS) — denah</t>
        </is>
      </c>
    </row>
    <row r="41">
      <c r="A41" s="4" t="inlineStr">
        <is>
          <t>Stand</t>
        </is>
      </c>
      <c r="B41" s="4" t="inlineStr">
        <is>
          <t>Lokasi</t>
        </is>
      </c>
      <c r="C41" s="4" t="inlineStr">
        <is>
          <t>Kubus awal</t>
        </is>
      </c>
    </row>
    <row r="42">
      <c r="A42" t="inlineStr">
        <is>
          <t>KS1</t>
        </is>
      </c>
      <c r="B42" t="inlineStr">
        <is>
          <t>Kiri arena</t>
        </is>
      </c>
      <c r="C42" t="inlineStr">
        <is>
          <t>K-M3</t>
        </is>
      </c>
    </row>
    <row r="43">
      <c r="A43" t="inlineStr">
        <is>
          <t>KS2</t>
        </is>
      </c>
      <c r="B43" t="inlineStr">
        <is>
          <t>Kiri arena</t>
        </is>
      </c>
      <c r="C43" t="inlineStr">
        <is>
          <t>K-H3</t>
        </is>
      </c>
    </row>
    <row r="44">
      <c r="A44" t="inlineStr">
        <is>
          <t>KS3</t>
        </is>
      </c>
      <c r="B44" t="inlineStr">
        <is>
          <t>Kiri arena</t>
        </is>
      </c>
      <c r="C44" t="inlineStr">
        <is>
          <t>K-B3</t>
        </is>
      </c>
    </row>
    <row r="45">
      <c r="A45" t="inlineStr">
        <is>
          <t>KS4</t>
        </is>
      </c>
      <c r="B45" t="inlineStr">
        <is>
          <t>Atas arena</t>
        </is>
      </c>
      <c r="C45" t="inlineStr">
        <is>
          <t>K-M2</t>
        </is>
      </c>
    </row>
    <row r="46">
      <c r="A46" t="inlineStr">
        <is>
          <t>KS5</t>
        </is>
      </c>
      <c r="B46" t="inlineStr">
        <is>
          <t>Atas arena</t>
        </is>
      </c>
      <c r="C46" t="inlineStr">
        <is>
          <t>K-H2</t>
        </is>
      </c>
    </row>
    <row r="47">
      <c r="A47" t="inlineStr">
        <is>
          <t>KS6</t>
        </is>
      </c>
      <c r="B47" t="inlineStr">
        <is>
          <t>Atas arena</t>
        </is>
      </c>
      <c r="C47" t="inlineStr">
        <is>
          <t>K-B2</t>
        </is>
      </c>
    </row>
    <row r="48">
      <c r="A48" t="inlineStr">
        <is>
          <t>KS7</t>
        </is>
      </c>
      <c r="B48" t="inlineStr">
        <is>
          <t>Kanan arena</t>
        </is>
      </c>
      <c r="C48" t="inlineStr">
        <is>
          <t>K-M1</t>
        </is>
      </c>
    </row>
    <row r="49">
      <c r="A49" t="inlineStr">
        <is>
          <t>KS8</t>
        </is>
      </c>
      <c r="B49" t="inlineStr">
        <is>
          <t>Kanan arena</t>
        </is>
      </c>
      <c r="C49" t="inlineStr">
        <is>
          <t>K-H1</t>
        </is>
      </c>
    </row>
    <row r="50">
      <c r="A50" t="inlineStr">
        <is>
          <t>KS9</t>
        </is>
      </c>
      <c r="B50" t="inlineStr">
        <is>
          <t>Kanan arena</t>
        </is>
      </c>
      <c r="C50" t="inlineStr">
        <is>
          <t>K-B1</t>
        </is>
      </c>
    </row>
    <row r="52">
      <c r="A52" s="7" t="inlineStr">
        <is>
          <t>RAK TARGET</t>
        </is>
      </c>
    </row>
    <row r="53">
      <c r="A53" s="4" t="inlineStr">
        <is>
          <t>Rak</t>
        </is>
      </c>
      <c r="B53" s="4" t="inlineStr">
        <is>
          <t>Bentuk</t>
        </is>
      </c>
      <c r="C53" s="4" t="inlineStr">
        <is>
          <t>Marker slot (M-H-B)</t>
        </is>
      </c>
    </row>
    <row r="54">
      <c r="A54" t="inlineStr">
        <is>
          <t>Rak 1</t>
        </is>
      </c>
      <c r="B54" t="inlineStr">
        <is>
          <t>Lingkaran</t>
        </is>
      </c>
      <c r="C54" t="inlineStr">
        <is>
          <t>Merah | Hijau | Biru (kiri–tengah–kanan)</t>
        </is>
      </c>
    </row>
    <row r="55">
      <c r="A55" t="inlineStr">
        <is>
          <t>Rak 2</t>
        </is>
      </c>
      <c r="B55" t="inlineStr">
        <is>
          <t>Persegi</t>
        </is>
      </c>
      <c r="C55" t="inlineStr">
        <is>
          <t>Merah | Hijau | Biru (kiri–tengah–kanan)</t>
        </is>
      </c>
    </row>
    <row r="56">
      <c r="A56" t="inlineStr">
        <is>
          <t>Rak 3</t>
        </is>
      </c>
      <c r="B56" t="inlineStr">
        <is>
          <t>Segitiga</t>
        </is>
      </c>
      <c r="C56" t="inlineStr">
        <is>
          <t>Merah | Hijau | Biru (kiri–tengah–kanan)</t>
        </is>
      </c>
    </row>
    <row r="58">
      <c r="A58" s="7" t="inlineStr">
        <is>
          <t>JOB DESKRIPSI</t>
        </is>
      </c>
    </row>
    <row r="59">
      <c r="A59" s="8" t="inlineStr">
        <is>
          <t>1. Memindahkan semua kubus ke rak yang sesuai bentuk &amp; warna (Lingkaran→Rak1, Persegi→Rak2, Segitiga→Rak3).</t>
        </is>
      </c>
    </row>
    <row r="60">
      <c r="A60" s="8" t="inlineStr">
        <is>
          <t>2. Saat membawa kubus: robot BOLEH melewati Gate.</t>
        </is>
      </c>
    </row>
    <row r="61">
      <c r="A61" s="8" t="inlineStr">
        <is>
          <t>3. Saat TIDAK membawa kubus: robot WAJIB melewati Obstacle.</t>
        </is>
      </c>
    </row>
    <row r="63">
      <c r="A63" s="6" t="inlineStr">
        <is>
          <t>OBSTACLE &amp; GATE (referensi denah)</t>
        </is>
      </c>
    </row>
    <row r="64">
      <c r="A64" t="inlineStr">
        <is>
          <t>Gate: kiri bawah — boleh dilalui saat bawa kubus.</t>
        </is>
      </c>
    </row>
    <row r="65">
      <c r="A65" t="inlineStr">
        <is>
          <t>Obstacle: 2 buah di arena — wajib dilalui saat tanpa kubus.</t>
        </is>
      </c>
    </row>
  </sheetData>
  <mergeCells count="5">
    <mergeCell ref="A2:L2"/>
    <mergeCell ref="A59:H59"/>
    <mergeCell ref="A1:L1"/>
    <mergeCell ref="A60:H60"/>
    <mergeCell ref="A61:H6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2" customWidth="1" min="7" max="7"/>
    <col width="14" customWidth="1" min="8" max="8"/>
    <col width="8" customWidth="1" min="9" max="9"/>
    <col width="8" customWidth="1" min="10" max="10"/>
    <col width="18" customWidth="1" min="11" max="11"/>
  </cols>
  <sheetData>
    <row r="1">
      <c r="A1" s="1" t="inlineStr">
        <is>
          <t>MODUL E — Job Tetap SMK Muhammadiyah (60 poin, manual)</t>
        </is>
      </c>
    </row>
    <row r="2" ht="18" customHeight="1">
      <c r="A2" s="3" t="inlineStr">
        <is>
          <t>Panduan job Muhammadiyah (GitHub)</t>
        </is>
      </c>
    </row>
    <row r="3">
      <c r="A3" t="inlineStr">
        <is>
          <t>Tim No:</t>
        </is>
      </c>
      <c r="C3" t="inlineStr">
        <is>
          <t>Run ID:</t>
        </is>
      </c>
      <c r="E3" t="inlineStr">
        <is>
          <t>Hari:</t>
        </is>
      </c>
      <c r="G3" t="inlineStr">
        <is>
          <t>Trial/Final:</t>
        </is>
      </c>
    </row>
    <row r="4">
      <c r="A4" t="inlineStr">
        <is>
          <t>Arena No:</t>
        </is>
      </c>
      <c r="C4" t="inlineStr">
        <is>
          <t>Waktu START:</t>
        </is>
      </c>
      <c r="D4" s="9">
        <f>'Log Run Otonom'!E8</f>
        <v/>
      </c>
    </row>
    <row r="5" ht="36" customHeight="1">
      <c r="A5" s="10" t="inlineStr">
        <is>
          <t>JOB TETAP — tidak perlu Undian Kubus. Kolom B–G sudah terisi dari sheet Job Arena. Juri isi kolom H (Hasil Run 1/0) setelah run. Sukses = kubus di rak bentuk benar + slot warna cocok + stabil.</t>
        </is>
      </c>
    </row>
    <row r="6">
      <c r="A6" s="4" t="inlineStr">
        <is>
          <t>No</t>
        </is>
      </c>
      <c r="B6" s="4" t="inlineStr">
        <is>
          <t>ID Kubus</t>
        </is>
      </c>
      <c r="C6" s="4" t="inlineStr">
        <is>
          <t>Warna</t>
        </is>
      </c>
      <c r="D6" s="4" t="inlineStr">
        <is>
          <t>Bentuk</t>
        </is>
      </c>
      <c r="E6" s="4" t="inlineStr">
        <is>
          <t>Posisi Awal (KS)</t>
        </is>
      </c>
      <c r="F6" s="4" t="inlineStr">
        <is>
          <t>Target Rak</t>
        </is>
      </c>
      <c r="G6" s="4" t="inlineStr">
        <is>
          <t>Slot Target</t>
        </is>
      </c>
      <c r="H6" s="4" t="inlineStr">
        <is>
          <t>Hasil Run (1/0)</t>
        </is>
      </c>
      <c r="I6" s="4" t="inlineStr">
        <is>
          <t>Bobot</t>
        </is>
      </c>
      <c r="J6" s="4" t="inlineStr">
        <is>
          <t>Skor</t>
        </is>
      </c>
      <c r="K6" s="4" t="inlineStr">
        <is>
          <t>Catatan</t>
        </is>
      </c>
    </row>
    <row r="7">
      <c r="A7" t="n">
        <v>1</v>
      </c>
      <c r="B7" t="inlineStr">
        <is>
          <t>K-M1</t>
        </is>
      </c>
      <c r="C7" t="inlineStr">
        <is>
          <t>Merah</t>
        </is>
      </c>
      <c r="D7" t="inlineStr">
        <is>
          <t>Lingkaran</t>
        </is>
      </c>
      <c r="E7" t="inlineStr">
        <is>
          <t>KS7</t>
        </is>
      </c>
      <c r="F7" t="inlineStr">
        <is>
          <t>Rak 1 (Lingkaran)</t>
        </is>
      </c>
      <c r="G7" t="inlineStr">
        <is>
          <t>Merah</t>
        </is>
      </c>
      <c r="I7">
        <f>60/9</f>
        <v/>
      </c>
      <c r="J7">
        <f>IF(H7="",0,H7*I7)</f>
        <v/>
      </c>
    </row>
    <row r="8">
      <c r="A8" t="n">
        <v>2</v>
      </c>
      <c r="B8" t="inlineStr">
        <is>
          <t>K-M2</t>
        </is>
      </c>
      <c r="C8" t="inlineStr">
        <is>
          <t>Merah</t>
        </is>
      </c>
      <c r="D8" t="inlineStr">
        <is>
          <t>Persegi</t>
        </is>
      </c>
      <c r="E8" t="inlineStr">
        <is>
          <t>KS4</t>
        </is>
      </c>
      <c r="F8" t="inlineStr">
        <is>
          <t>Rak 2 (Persegi)</t>
        </is>
      </c>
      <c r="G8" t="inlineStr">
        <is>
          <t>Merah</t>
        </is>
      </c>
      <c r="I8">
        <f>60/9</f>
        <v/>
      </c>
      <c r="J8">
        <f>IF(H8="",0,H8*I8)</f>
        <v/>
      </c>
    </row>
    <row r="9">
      <c r="A9" t="n">
        <v>3</v>
      </c>
      <c r="B9" t="inlineStr">
        <is>
          <t>K-M3</t>
        </is>
      </c>
      <c r="C9" t="inlineStr">
        <is>
          <t>Merah</t>
        </is>
      </c>
      <c r="D9" t="inlineStr">
        <is>
          <t>Segitiga</t>
        </is>
      </c>
      <c r="E9" t="inlineStr">
        <is>
          <t>KS1</t>
        </is>
      </c>
      <c r="F9" t="inlineStr">
        <is>
          <t>Rak 3 (Segitiga)</t>
        </is>
      </c>
      <c r="G9" t="inlineStr">
        <is>
          <t>Merah</t>
        </is>
      </c>
      <c r="I9">
        <f>60/9</f>
        <v/>
      </c>
      <c r="J9">
        <f>IF(H9="",0,H9*I9)</f>
        <v/>
      </c>
    </row>
    <row r="10">
      <c r="A10" t="n">
        <v>4</v>
      </c>
      <c r="B10" t="inlineStr">
        <is>
          <t>K-H1</t>
        </is>
      </c>
      <c r="C10" t="inlineStr">
        <is>
          <t>Hijau</t>
        </is>
      </c>
      <c r="D10" t="inlineStr">
        <is>
          <t>Lingkaran</t>
        </is>
      </c>
      <c r="E10" t="inlineStr">
        <is>
          <t>KS8</t>
        </is>
      </c>
      <c r="F10" t="inlineStr">
        <is>
          <t>Rak 1 (Lingkaran)</t>
        </is>
      </c>
      <c r="G10" t="inlineStr">
        <is>
          <t>Hijau</t>
        </is>
      </c>
      <c r="I10">
        <f>60/9</f>
        <v/>
      </c>
      <c r="J10">
        <f>IF(H10="",0,H10*I10)</f>
        <v/>
      </c>
    </row>
    <row r="11">
      <c r="A11" t="n">
        <v>5</v>
      </c>
      <c r="B11" t="inlineStr">
        <is>
          <t>K-H2</t>
        </is>
      </c>
      <c r="C11" t="inlineStr">
        <is>
          <t>Hijau</t>
        </is>
      </c>
      <c r="D11" t="inlineStr">
        <is>
          <t>Persegi</t>
        </is>
      </c>
      <c r="E11" t="inlineStr">
        <is>
          <t>KS5</t>
        </is>
      </c>
      <c r="F11" t="inlineStr">
        <is>
          <t>Rak 2 (Persegi)</t>
        </is>
      </c>
      <c r="G11" t="inlineStr">
        <is>
          <t>Hijau</t>
        </is>
      </c>
      <c r="I11">
        <f>60/9</f>
        <v/>
      </c>
      <c r="J11">
        <f>IF(H11="",0,H11*I11)</f>
        <v/>
      </c>
    </row>
    <row r="12">
      <c r="A12" t="n">
        <v>6</v>
      </c>
      <c r="B12" t="inlineStr">
        <is>
          <t>K-H3</t>
        </is>
      </c>
      <c r="C12" t="inlineStr">
        <is>
          <t>Hijau</t>
        </is>
      </c>
      <c r="D12" t="inlineStr">
        <is>
          <t>Segitiga</t>
        </is>
      </c>
      <c r="E12" t="inlineStr">
        <is>
          <t>KS2</t>
        </is>
      </c>
      <c r="F12" t="inlineStr">
        <is>
          <t>Rak 3 (Segitiga)</t>
        </is>
      </c>
      <c r="G12" t="inlineStr">
        <is>
          <t>Hijau</t>
        </is>
      </c>
      <c r="I12">
        <f>60/9</f>
        <v/>
      </c>
      <c r="J12">
        <f>IF(H12="",0,H12*I12)</f>
        <v/>
      </c>
    </row>
    <row r="13">
      <c r="A13" t="n">
        <v>7</v>
      </c>
      <c r="B13" t="inlineStr">
        <is>
          <t>K-B1</t>
        </is>
      </c>
      <c r="C13" t="inlineStr">
        <is>
          <t>Biru</t>
        </is>
      </c>
      <c r="D13" t="inlineStr">
        <is>
          <t>Lingkaran</t>
        </is>
      </c>
      <c r="E13" t="inlineStr">
        <is>
          <t>KS9</t>
        </is>
      </c>
      <c r="F13" t="inlineStr">
        <is>
          <t>Rak 1 (Lingkaran)</t>
        </is>
      </c>
      <c r="G13" t="inlineStr">
        <is>
          <t>Biru</t>
        </is>
      </c>
      <c r="I13">
        <f>60/9</f>
        <v/>
      </c>
      <c r="J13">
        <f>IF(H13="",0,H13*I13)</f>
        <v/>
      </c>
    </row>
    <row r="14">
      <c r="A14" t="n">
        <v>8</v>
      </c>
      <c r="B14" t="inlineStr">
        <is>
          <t>K-B2</t>
        </is>
      </c>
      <c r="C14" t="inlineStr">
        <is>
          <t>Biru</t>
        </is>
      </c>
      <c r="D14" t="inlineStr">
        <is>
          <t>Persegi</t>
        </is>
      </c>
      <c r="E14" t="inlineStr">
        <is>
          <t>KS6</t>
        </is>
      </c>
      <c r="F14" t="inlineStr">
        <is>
          <t>Rak 2 (Persegi)</t>
        </is>
      </c>
      <c r="G14" t="inlineStr">
        <is>
          <t>Biru</t>
        </is>
      </c>
      <c r="I14">
        <f>60/9</f>
        <v/>
      </c>
      <c r="J14">
        <f>IF(H14="",0,H14*I14)</f>
        <v/>
      </c>
    </row>
    <row r="15">
      <c r="A15" t="n">
        <v>9</v>
      </c>
      <c r="B15" t="inlineStr">
        <is>
          <t>K-B3</t>
        </is>
      </c>
      <c r="C15" t="inlineStr">
        <is>
          <t>Biru</t>
        </is>
      </c>
      <c r="D15" t="inlineStr">
        <is>
          <t>Segitiga</t>
        </is>
      </c>
      <c r="E15" t="inlineStr">
        <is>
          <t>KS3</t>
        </is>
      </c>
      <c r="F15" t="inlineStr">
        <is>
          <t>Rak 3 (Segitiga)</t>
        </is>
      </c>
      <c r="G15" t="inlineStr">
        <is>
          <t>Biru</t>
        </is>
      </c>
      <c r="I15">
        <f>60/9</f>
        <v/>
      </c>
      <c r="J15">
        <f>IF(H15="",0,H15*I15)</f>
        <v/>
      </c>
    </row>
    <row r="16">
      <c r="F16" s="6" t="inlineStr">
        <is>
          <t>TOTAL MODUL E</t>
        </is>
      </c>
      <c r="I16" t="n">
        <v>60</v>
      </c>
      <c r="J16">
        <f>ROUND(SUM(J7:J15),2)</f>
        <v/>
      </c>
    </row>
    <row r="18">
      <c r="A18" t="inlineStr">
        <is>
          <t>Pelanggaran (1=ya):</t>
        </is>
      </c>
    </row>
    <row r="19">
      <c r="A19" t="inlineStr">
        <is>
          <t>Sentuh laptop setelah SIAP</t>
        </is>
      </c>
      <c r="B19" t="n">
        <v>0</v>
      </c>
    </row>
    <row r="20">
      <c r="A20" t="inlineStr">
        <is>
          <t>Sentuh robot setelah START</t>
        </is>
      </c>
      <c r="B20" t="n">
        <v>0</v>
      </c>
    </row>
    <row r="21">
      <c r="A21" t="inlineStr">
        <is>
          <t>Tidak start via tombol robot</t>
        </is>
      </c>
      <c r="B21" t="n">
        <v>0</v>
      </c>
    </row>
    <row r="22">
      <c r="A22" t="inlineStr">
        <is>
          <t>Place manual oleh peserta</t>
        </is>
      </c>
      <c r="B22" t="n">
        <v>0</v>
      </c>
    </row>
  </sheetData>
  <mergeCells count="3">
    <mergeCell ref="A2:K2"/>
    <mergeCell ref="A1:K1"/>
    <mergeCell ref="A5:K5"/>
  </mergeCells>
  <dataValidations count="1">
    <dataValidation sqref="H7 H8 H9 H10 H11 H12 H13 H14 H15" showDropDown="0" showInputMessage="0" showErrorMessage="0" allowBlank="1" type="list">
      <formula1>"0,1"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2" customWidth="1" min="10" max="10"/>
    <col width="14" customWidth="1" min="11" max="11"/>
    <col width="14" customWidth="1" min="12" max="12"/>
  </cols>
  <sheetData>
    <row r="1">
      <c r="A1" s="1" t="inlineStr">
        <is>
          <t>LEMBAR LOG RUN OTONOM — LKS 2026</t>
        </is>
      </c>
    </row>
    <row r="2" ht="18" customHeight="1">
      <c r="A2" s="3" t="inlineStr">
        <is>
          <t>Bingung alur SIAP/START &amp; pencatatan? Buka panduan Log Run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  <c r="G3" t="inlineStr">
        <is>
          <t>Arena No:</t>
        </is>
      </c>
    </row>
    <row r="4">
      <c r="A4" t="inlineStr">
        <is>
          <t>Hari:</t>
        </is>
      </c>
      <c r="C4" t="inlineStr">
        <is>
          <t>Tanggal:</t>
        </is>
      </c>
      <c r="E4" t="inlineStr">
        <is>
          <t>Juri Penilai:</t>
        </is>
      </c>
      <c r="G4" t="inlineStr">
        <is>
          <t>Juri Pendamping:</t>
        </is>
      </c>
    </row>
    <row r="6" ht="28" customHeight="1">
      <c r="A6" s="6" t="inlineStr">
        <is>
          <t>DATA RUN</t>
        </is>
      </c>
      <c r="J6" s="11" t="inlineStr">
        <is>
          <t>STOPWATCH RUN — klik tombol di bawah (file .xlsm, Enable Macro)</t>
        </is>
      </c>
    </row>
    <row r="7">
      <c r="A7" s="6" t="inlineStr">
        <is>
          <t>Run No:</t>
        </is>
      </c>
      <c r="D7" s="6" t="inlineStr">
        <is>
          <t>Run ID:</t>
        </is>
      </c>
      <c r="G7" s="6" t="inlineStr">
        <is>
          <t>Trial/Final:</t>
        </is>
      </c>
      <c r="J7" s="6" t="inlineStr">
        <is>
          <t>Durasi live (F9):</t>
        </is>
      </c>
      <c r="K7" s="12">
        <f>IF(E8="","",IF(H8&lt;&gt;"",H8-E8,NOW()-TODAY()-E8))</f>
        <v/>
      </c>
    </row>
    <row r="8">
      <c r="A8" s="6" t="inlineStr">
        <is>
          <t>Jam SIAP (nyata):</t>
        </is>
      </c>
      <c r="D8" s="6" t="inlineStr">
        <is>
          <t>Jam START (nyata):</t>
        </is>
      </c>
      <c r="G8" s="6" t="inlineStr">
        <is>
          <t>Jam selesai (nyata):</t>
        </is>
      </c>
      <c r="J8" s="6" t="inlineStr">
        <is>
          <t>Durasi final:</t>
        </is>
      </c>
      <c r="K8" s="13">
        <f>IF(AND(E8&lt;&gt;"",H8&lt;&gt;""),H8-E8,"")</f>
        <v/>
      </c>
    </row>
    <row r="9">
      <c r="A9" s="6" t="inlineStr">
        <is>
          <t>Undian ulang (1/0):</t>
        </is>
      </c>
      <c r="D9" s="6" t="inlineStr">
        <is>
          <t>Retry (1/0):</t>
        </is>
      </c>
      <c r="G9" s="6" t="inlineStr">
        <is>
          <t>Retry No:</t>
        </is>
      </c>
      <c r="J9" s="6" t="inlineStr">
        <is>
          <t>Menit:</t>
        </is>
      </c>
      <c r="K9" s="14">
        <f>IF(K8="","",ROUND(K8*24*60,1))</f>
        <v/>
      </c>
    </row>
    <row r="10" ht="30" customHeight="1">
      <c r="J10" s="15" t="inlineStr">
        <is>
          <t>Tanpa macro (.xlsx): Ctrl+Shift+: untuk waktu | tekan F9 saat run untuk refresh durasi live. Disarankan .xlsm + tombol ▶ SIAP ▶ START ■ SELESAI (Enable Macro).</t>
        </is>
      </c>
    </row>
    <row r="11">
      <c r="A11" s="6" t="inlineStr">
        <is>
          <t>CHECKLIST PROSEDUR JURI (isi 1 = selesai)</t>
        </is>
      </c>
    </row>
    <row r="12">
      <c r="A12" s="4" t="inlineStr">
        <is>
          <t>No</t>
        </is>
      </c>
      <c r="B12" s="4" t="inlineStr">
        <is>
          <t>Item</t>
        </is>
      </c>
      <c r="C12" s="4" t="inlineStr">
        <is>
          <t>OK (1/0)</t>
        </is>
      </c>
    </row>
    <row r="13">
      <c r="A13" t="n">
        <v>1</v>
      </c>
      <c r="B13" t="inlineStr">
        <is>
          <t>Layout arena dijelaskan ke peserta</t>
        </is>
      </c>
      <c r="C13" t="inlineStr"/>
    </row>
    <row r="14">
      <c r="A14" t="n">
        <v>2</v>
      </c>
      <c r="B14" t="inlineStr">
        <is>
          <t>Peserta nyatakan SIAP</t>
        </is>
      </c>
      <c r="C14" t="inlineStr"/>
    </row>
    <row r="15">
      <c r="A15" t="n">
        <v>3</v>
      </c>
      <c r="B15" t="inlineStr">
        <is>
          <t>Laptop tidak disentuh setelah SIAP</t>
        </is>
      </c>
      <c r="C15" t="inlineStr"/>
    </row>
    <row r="16">
      <c r="A16" t="n">
        <v>4</v>
      </c>
      <c r="B16" t="inlineStr">
        <is>
          <t>Posisi kubus diacak / diacak ulang</t>
        </is>
      </c>
      <c r="C16" t="inlineStr"/>
    </row>
    <row r="17">
      <c r="A17" t="n">
        <v>5</v>
      </c>
      <c r="B17" t="inlineStr">
        <is>
          <t>Sinyal START diberikan</t>
        </is>
      </c>
      <c r="C17" t="inlineStr"/>
    </row>
    <row r="18">
      <c r="A18" t="n">
        <v>6</v>
      </c>
      <c r="B18" t="inlineStr">
        <is>
          <t>Peserta tekan tombol START di robot</t>
        </is>
      </c>
      <c r="C18" t="inlineStr"/>
    </row>
    <row r="19">
      <c r="A19" t="n">
        <v>7</v>
      </c>
      <c r="B19" t="inlineStr">
        <is>
          <t>Run berjalan otonom</t>
        </is>
      </c>
      <c r="C19" t="inlineStr"/>
    </row>
    <row r="20">
      <c r="A20" t="n">
        <v>8</v>
      </c>
      <c r="B20" t="inlineStr">
        <is>
          <t>Hasil dicatat di sheet Modul E</t>
        </is>
      </c>
      <c r="C20" t="inlineStr"/>
    </row>
    <row r="22">
      <c r="A22" t="inlineStr">
        <is>
          <t>Checklist selesai:</t>
        </is>
      </c>
      <c r="B22">
        <f>IF(COUNTIF(C13:C20,1)=8,"LENGKAP","BELUM")</f>
        <v/>
      </c>
    </row>
    <row r="24">
      <c r="A24" s="6" t="inlineStr">
        <is>
          <t>KRONOLOGI KEJADIAN</t>
        </is>
      </c>
    </row>
    <row r="25">
      <c r="A25" s="4" t="inlineStr">
        <is>
          <t>Waktu</t>
        </is>
      </c>
      <c r="B25" s="4" t="inlineStr">
        <is>
          <t>Kejadian</t>
        </is>
      </c>
      <c r="C25" s="4" t="inlineStr">
        <is>
          <t>Catatan</t>
        </is>
      </c>
    </row>
    <row r="26">
      <c r="A26" t="inlineStr"/>
      <c r="B26" t="inlineStr">
        <is>
          <t>Robot start dari posisi start</t>
        </is>
      </c>
      <c r="C26" t="inlineStr"/>
    </row>
    <row r="27">
      <c r="A27" t="inlineStr"/>
      <c r="B27" t="inlineStr">
        <is>
          <t>Navigasi / pick / place</t>
        </is>
      </c>
      <c r="C27" t="inlineStr"/>
    </row>
    <row r="28">
      <c r="A28" t="inlineStr"/>
      <c r="B28" t="inlineStr">
        <is>
          <t>Robot selesai / timeout / STOP</t>
        </is>
      </c>
      <c r="C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5">
      <c r="A35" s="6" t="inlineStr">
        <is>
          <t>HASIL SINGKAT</t>
        </is>
      </c>
    </row>
    <row r="36">
      <c r="A36" t="inlineStr">
        <is>
          <t>Kubus berhasil ditempatkan benar:</t>
        </is>
      </c>
      <c r="C36">
        <f>COUNTIF('Modul E'!H7:H15,1)</f>
        <v/>
      </c>
      <c r="D36" t="inlineStr">
        <is>
          <t>/ 9</t>
        </is>
      </c>
    </row>
    <row r="37">
      <c r="A37" t="inlineStr">
        <is>
          <t>Skor Modul E run ini:</t>
        </is>
      </c>
      <c r="C37">
        <f>'Modul E'!J16</f>
        <v/>
      </c>
      <c r="D37" t="inlineStr">
        <is>
          <t>/ 60</t>
        </is>
      </c>
    </row>
    <row r="38">
      <c r="A38" t="inlineStr">
        <is>
          <t>Pelanggaran (ya/tidak):</t>
        </is>
      </c>
      <c r="C38" t="inlineStr"/>
    </row>
    <row r="39">
      <c r="A39" t="inlineStr">
        <is>
          <t>Jenis pelanggaran:</t>
        </is>
      </c>
      <c r="C39" t="inlineStr"/>
    </row>
    <row r="41">
      <c r="A41" t="inlineStr">
        <is>
          <t>Tanda tangan Juri:</t>
        </is>
      </c>
      <c r="D41" t="inlineStr">
        <is>
          <t>Tanda tangan Peserta:</t>
        </is>
      </c>
      <c r="G41" t="inlineStr">
        <is>
          <t>Tanda tangan Chief Expert:</t>
        </is>
      </c>
    </row>
  </sheetData>
  <mergeCells count="4">
    <mergeCell ref="J6:L6"/>
    <mergeCell ref="A1:K1"/>
    <mergeCell ref="A2:H2"/>
    <mergeCell ref="J10:L10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REKAPITULASI SKOR — Robot Bergerak Otonom LKS 2026</t>
        </is>
      </c>
    </row>
    <row r="2" ht="18" customHeight="1">
      <c r="A2" s="3" t="inlineStr">
        <is>
          <t>Bingung cara baca total &amp; input CIS? Buka panduan di GitHub (klik di sini)</t>
        </is>
      </c>
    </row>
    <row r="3">
      <c r="A3" t="inlineStr">
        <is>
          <t>Tim No:</t>
        </is>
      </c>
      <c r="C3" t="inlineStr">
        <is>
          <t>Nama Tim:</t>
        </is>
      </c>
      <c r="E3" t="inlineStr">
        <is>
          <t>Kontingen:</t>
        </is>
      </c>
    </row>
    <row r="5">
      <c r="A5" s="4" t="inlineStr">
        <is>
          <t>Modul</t>
        </is>
      </c>
      <c r="B5" s="4" t="inlineStr">
        <is>
          <t>Kriteria</t>
        </is>
      </c>
      <c r="C5" s="4" t="inlineStr">
        <is>
          <t>Bobot Max</t>
        </is>
      </c>
      <c r="D5" s="4" t="inlineStr">
        <is>
          <t>Skor</t>
        </is>
      </c>
      <c r="E5" s="4" t="inlineStr">
        <is>
          <t>Persen</t>
        </is>
      </c>
      <c r="F5" s="4" t="inlineStr">
        <is>
          <t>Metode</t>
        </is>
      </c>
    </row>
    <row r="6">
      <c r="A6" t="inlineStr">
        <is>
          <t>A</t>
        </is>
      </c>
      <c r="B6" t="inlineStr">
        <is>
          <t>Organisasi &amp; Manajemen Kerja</t>
        </is>
      </c>
      <c r="C6" t="n">
        <v>8</v>
      </c>
      <c r="D6">
        <f>'Modul A'!H11</f>
        <v/>
      </c>
      <c r="E6">
        <f>IF(C6=0,0,D6/C6*100)</f>
        <v/>
      </c>
      <c r="F6" t="inlineStr">
        <is>
          <t>J</t>
        </is>
      </c>
    </row>
    <row r="7">
      <c r="A7" t="inlineStr">
        <is>
          <t>B</t>
        </is>
      </c>
      <c r="B7" t="inlineStr">
        <is>
          <t>Jurnal Teknis</t>
        </is>
      </c>
      <c r="C7" t="n">
        <v>10</v>
      </c>
      <c r="D7">
        <f>'Modul B'!I15</f>
        <v/>
      </c>
      <c r="E7">
        <f>IF(C7=0,0,D7/C7*100)</f>
        <v/>
      </c>
      <c r="F7" t="inlineStr">
        <is>
          <t>J+M</t>
        </is>
      </c>
    </row>
    <row r="8">
      <c r="A8" t="inlineStr">
        <is>
          <t>C</t>
        </is>
      </c>
      <c r="B8" t="inlineStr">
        <is>
          <t>Perakitan Robot</t>
        </is>
      </c>
      <c r="C8" t="n">
        <v>10</v>
      </c>
      <c r="D8">
        <f>'Modul C'!H11</f>
        <v/>
      </c>
      <c r="E8">
        <f>IF(C8=0,0,D8/C8*100)</f>
        <v/>
      </c>
      <c r="F8" t="inlineStr">
        <is>
          <t>J</t>
        </is>
      </c>
    </row>
    <row r="9">
      <c r="A9" t="inlineStr">
        <is>
          <t>D</t>
        </is>
      </c>
      <c r="B9" t="inlineStr">
        <is>
          <t>Gerakan Dasar</t>
        </is>
      </c>
      <c r="C9" t="n">
        <v>12</v>
      </c>
      <c r="D9">
        <f>'Modul D'!F21</f>
        <v/>
      </c>
      <c r="E9">
        <f>IF(C9=0,0,D9/C9*100)</f>
        <v/>
      </c>
      <c r="F9" t="inlineStr">
        <is>
          <t>M</t>
        </is>
      </c>
    </row>
    <row r="10">
      <c r="A10" t="inlineStr">
        <is>
          <t>E</t>
        </is>
      </c>
      <c r="B10" t="inlineStr">
        <is>
          <t>Performa Otonom</t>
        </is>
      </c>
      <c r="C10" t="n">
        <v>60</v>
      </c>
      <c r="D10">
        <f>'Modul E'!J16</f>
        <v/>
      </c>
      <c r="E10">
        <f>IF(C10=0,0,D10/C10*100)</f>
        <v/>
      </c>
      <c r="F10" t="inlineStr">
        <is>
          <t>M</t>
        </is>
      </c>
    </row>
    <row r="11">
      <c r="B11" s="6" t="inlineStr">
        <is>
          <t>TOTAL</t>
        </is>
      </c>
      <c r="C11" t="n">
        <v>100</v>
      </c>
      <c r="D11">
        <f>SUM(D6:D10)</f>
        <v/>
      </c>
      <c r="E11">
        <f>D11</f>
        <v/>
      </c>
    </row>
    <row r="13">
      <c r="A13" t="inlineStr">
        <is>
          <t>Skor CIS (0-100):</t>
        </is>
      </c>
    </row>
    <row r="14">
      <c r="A14" t="inlineStr">
        <is>
          <t>Skor Konversi (700):</t>
        </is>
      </c>
    </row>
    <row r="15">
      <c r="A15" t="inlineStr">
        <is>
          <t>Medallion (&gt;700):</t>
        </is>
      </c>
    </row>
  </sheetData>
  <mergeCells count="2">
    <mergeCell ref="A2:F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2026-06-25T02:31:50Z</dcterms:created>
  <dcterms:modified xmlns:dcterms="http://purl.org/dc/terms/" xmlns:xsi="http://www.w3.org/2001/XMLSchema-instance" xsi:type="dcterms:W3CDTF">2026-06-25T02:31:50Z</dcterms:modified>
</cp:coreProperties>
</file>