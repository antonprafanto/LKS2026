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\vibecoding\LKS2026\templates\"/>
    </mc:Choice>
  </mc:AlternateContent>
  <xr:revisionPtr revIDLastSave="0" documentId="8_{A6444761-043E-4913-A38F-060AEFEE1514}" xr6:coauthVersionLast="47" xr6:coauthVersionMax="47" xr10:uidLastSave="{00000000-0000-0000-0000-000000000000}"/>
  <bookViews>
    <workbookView xWindow="1536" yWindow="1536" windowWidth="17280" windowHeight="8880" xr2:uid="{00000000-000D-0000-FFFF-FFFF00000000}"/>
  </bookViews>
  <sheets>
    <sheet name="Panduan" sheetId="1" r:id="rId1"/>
    <sheet name="Modul A" sheetId="2" r:id="rId2"/>
    <sheet name="Modul B" sheetId="3" r:id="rId3"/>
    <sheet name="Modul C" sheetId="4" r:id="rId4"/>
    <sheet name="Modul D" sheetId="5" r:id="rId5"/>
    <sheet name="Undian Kubus" sheetId="6" r:id="rId6"/>
    <sheet name="Modul E" sheetId="7" r:id="rId7"/>
    <sheet name="Log Run Otonom" sheetId="8" r:id="rId8"/>
    <sheet name="Rekapitulasi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8" l="1"/>
  <c r="B22" i="8"/>
  <c r="K8" i="8"/>
  <c r="K7" i="8"/>
  <c r="I15" i="7"/>
  <c r="B15" i="7"/>
  <c r="I14" i="7"/>
  <c r="B14" i="7"/>
  <c r="I13" i="7"/>
  <c r="B13" i="7"/>
  <c r="I12" i="7"/>
  <c r="B12" i="7"/>
  <c r="I11" i="7"/>
  <c r="B11" i="7"/>
  <c r="I10" i="7"/>
  <c r="B10" i="7"/>
  <c r="I9" i="7"/>
  <c r="B9" i="7"/>
  <c r="I8" i="7"/>
  <c r="D8" i="7"/>
  <c r="B8" i="7"/>
  <c r="I7" i="7"/>
  <c r="B7" i="7"/>
  <c r="D36" i="6"/>
  <c r="C36" i="6"/>
  <c r="B36" i="6"/>
  <c r="D35" i="6"/>
  <c r="C35" i="6"/>
  <c r="B35" i="6"/>
  <c r="D34" i="6"/>
  <c r="C34" i="6"/>
  <c r="B34" i="6"/>
  <c r="D33" i="6"/>
  <c r="C33" i="6"/>
  <c r="B33" i="6"/>
  <c r="D32" i="6"/>
  <c r="C32" i="6"/>
  <c r="B32" i="6"/>
  <c r="D31" i="6"/>
  <c r="C31" i="6"/>
  <c r="B31" i="6"/>
  <c r="I30" i="6"/>
  <c r="D30" i="6"/>
  <c r="C30" i="6"/>
  <c r="B30" i="6"/>
  <c r="D29" i="6"/>
  <c r="C29" i="6"/>
  <c r="B29" i="6"/>
  <c r="D28" i="6"/>
  <c r="C28" i="6"/>
  <c r="B28" i="6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I10" i="4"/>
  <c r="G10" i="4"/>
  <c r="I9" i="4"/>
  <c r="G9" i="4"/>
  <c r="I8" i="4"/>
  <c r="G8" i="4"/>
  <c r="I7" i="4"/>
  <c r="G7" i="4"/>
  <c r="I14" i="3"/>
  <c r="J12" i="3"/>
  <c r="H12" i="3"/>
  <c r="J11" i="3"/>
  <c r="H11" i="3"/>
  <c r="J10" i="3"/>
  <c r="H10" i="3"/>
  <c r="J9" i="3"/>
  <c r="H9" i="3"/>
  <c r="J8" i="3"/>
  <c r="H8" i="3"/>
  <c r="J7" i="3"/>
  <c r="H7" i="3"/>
  <c r="I10" i="2"/>
  <c r="G10" i="2"/>
  <c r="I9" i="2"/>
  <c r="G9" i="2"/>
  <c r="I8" i="2"/>
  <c r="G8" i="2"/>
  <c r="I7" i="2"/>
  <c r="G7" i="2"/>
  <c r="K9" i="8" l="1"/>
  <c r="I35" i="6"/>
  <c r="H35" i="6"/>
  <c r="G35" i="6"/>
  <c r="J35" i="6" s="1"/>
  <c r="J14" i="7"/>
  <c r="G14" i="7"/>
  <c r="E14" i="7"/>
  <c r="D14" i="7"/>
  <c r="C14" i="7"/>
  <c r="J13" i="7"/>
  <c r="F13" i="7"/>
  <c r="E13" i="7"/>
  <c r="D13" i="7"/>
  <c r="C13" i="7"/>
  <c r="J12" i="7"/>
  <c r="E12" i="7"/>
  <c r="D12" i="7"/>
  <c r="C12" i="7"/>
  <c r="J11" i="7"/>
  <c r="J10" i="7"/>
  <c r="E10" i="7"/>
  <c r="D10" i="7"/>
  <c r="C10" i="7"/>
  <c r="J9" i="7"/>
  <c r="E9" i="7"/>
  <c r="D9" i="7"/>
  <c r="C9" i="7"/>
  <c r="J8" i="7"/>
  <c r="I33" i="6"/>
  <c r="H33" i="6"/>
  <c r="G33" i="6"/>
  <c r="J33" i="6" s="1"/>
  <c r="I32" i="6"/>
  <c r="H32" i="6"/>
  <c r="G32" i="6"/>
  <c r="J32" i="6" s="1"/>
  <c r="E11" i="7"/>
  <c r="D11" i="7"/>
  <c r="C11" i="7"/>
  <c r="E8" i="7"/>
  <c r="I34" i="6"/>
  <c r="H34" i="6"/>
  <c r="I31" i="6"/>
  <c r="H31" i="6"/>
  <c r="G31" i="6"/>
  <c r="J31" i="6" s="1"/>
  <c r="C8" i="7"/>
  <c r="F8" i="7" s="1"/>
  <c r="J7" i="7"/>
  <c r="E7" i="7"/>
  <c r="D7" i="7"/>
  <c r="C7" i="7"/>
  <c r="I36" i="6"/>
  <c r="H36" i="6"/>
  <c r="G36" i="6"/>
  <c r="J36" i="6" s="1"/>
  <c r="G34" i="6"/>
  <c r="J34" i="6" s="1"/>
  <c r="H30" i="6"/>
  <c r="G30" i="6"/>
  <c r="J30" i="6" s="1"/>
  <c r="I29" i="6"/>
  <c r="H29" i="6"/>
  <c r="G29" i="6"/>
  <c r="I28" i="6"/>
  <c r="H28" i="6"/>
  <c r="G28" i="6"/>
  <c r="J28" i="6" s="1"/>
  <c r="F21" i="5"/>
  <c r="D9" i="9" s="1"/>
  <c r="E9" i="9" s="1"/>
  <c r="H10" i="4"/>
  <c r="H9" i="4"/>
  <c r="H8" i="4"/>
  <c r="H7" i="4"/>
  <c r="H11" i="4" s="1"/>
  <c r="D8" i="9" s="1"/>
  <c r="E8" i="9" s="1"/>
  <c r="I12" i="3"/>
  <c r="J15" i="7"/>
  <c r="E15" i="7"/>
  <c r="D15" i="7"/>
  <c r="C15" i="7"/>
  <c r="I11" i="3"/>
  <c r="I10" i="3"/>
  <c r="I9" i="3"/>
  <c r="I8" i="3"/>
  <c r="I7" i="3"/>
  <c r="H10" i="2"/>
  <c r="H9" i="2"/>
  <c r="H8" i="2"/>
  <c r="H7" i="2"/>
  <c r="H11" i="2" s="1"/>
  <c r="D6" i="9" s="1"/>
  <c r="J29" i="6" l="1"/>
  <c r="G8" i="7"/>
  <c r="E6" i="9"/>
  <c r="G12" i="7"/>
  <c r="F12" i="7"/>
  <c r="G11" i="7"/>
  <c r="G10" i="7"/>
  <c r="F10" i="7"/>
  <c r="G9" i="7"/>
  <c r="F9" i="7"/>
  <c r="J16" i="7"/>
  <c r="G7" i="7"/>
  <c r="F7" i="7"/>
  <c r="G15" i="7"/>
  <c r="F15" i="7"/>
  <c r="I13" i="3"/>
  <c r="I15" i="3" s="1"/>
  <c r="D7" i="9" s="1"/>
  <c r="E7" i="9" s="1"/>
  <c r="F14" i="7"/>
  <c r="G13" i="7"/>
  <c r="F11" i="7"/>
  <c r="D10" i="9" l="1"/>
  <c r="E10" i="9" s="1"/>
  <c r="C37" i="8"/>
  <c r="D11" i="9"/>
  <c r="E11" i="9" s="1"/>
</calcChain>
</file>

<file path=xl/sharedStrings.xml><?xml version="1.0" encoding="utf-8"?>
<sst xmlns="http://schemas.openxmlformats.org/spreadsheetml/2006/main" count="493" uniqueCount="353">
  <si>
    <t>PANDUAN PENGGUNAAN — LKS 2026 Penilaian Juri</t>
  </si>
  <si>
    <t>BANTUAN ONLINE (GitHub) — klik baris di bawah jika bingung cara pakai:</t>
  </si>
  <si>
    <t>→ Daftar semua panduan juri</t>
  </si>
  <si>
    <t>→ Modul A — Organisasi &amp; manajemen kerja</t>
  </si>
  <si>
    <t>→ Modul B — Jurnal teknis</t>
  </si>
  <si>
    <t>→ Modul C — Perakitan robot</t>
  </si>
  <si>
    <t>→ Modul D — Gerakan dasar</t>
  </si>
  <si>
    <t>→ Modul E — panduan lengkap (WAJIB BACA)</t>
  </si>
  <si>
    <t>→ Log Run Otonom — panduan lengkap (WAJIB BACA)</t>
  </si>
  <si>
    <t>→ Modul E — contoh angka step-by-step</t>
  </si>
  <si>
    <t>→ Undian Kubus — pengacakan posisi</t>
  </si>
  <si>
    <t>→ Rekapitulasi — total &amp; CIS</t>
  </si>
  <si>
    <t>→ Repositori lengkap</t>
  </si>
  <si>
    <t>SATU FILE INI untuk seluruh penilaian — jangan buka file CSV terpisah.</t>
  </si>
  <si>
    <t>Kompatibel Excel 2010+ (tanpa fungsi TEXTJOIN).</t>
  </si>
  <si>
    <t>LATIHAN: buka LKS2026-Penilaian-Juri-CONTOH.xlsx untuk melihat contoh terisi.</t>
  </si>
  <si>
    <t>1. Duplikat workbook ini per TIM (Save As).</t>
  </si>
  <si>
    <t xml:space="preserve">   Disarankan: LKS2026-Penilaian-Juri.xlsm (stopwatch Log Run — Enable Macro).</t>
  </si>
  <si>
    <t>2. Modul A/B/C: isi skor Juri 1-3 (0-3). Skor otomatis.</t>
  </si>
  <si>
    <t>3. Modul B: isi Tepat Waktu (1/0) di G4.</t>
  </si>
  <si>
    <t>4. UNDIAN KUBUS (isi DULU sebelum Modul E):</t>
  </si>
  <si>
    <t xml:space="preserve">   a. Baris 24 (kuning): warna marker Merah/Hijau/Biru per slot.</t>
  </si>
  <si>
    <t xml:space="preserve">   b. Baris 28–36: kolom A = ID kubus | E = Rak/Stand | F = Slot.</t>
  </si>
  <si>
    <t>5. MODUL E: kolom B-G otomatis. Juri isi kolom H (Hasil Run 1/0) saja.</t>
  </si>
  <si>
    <t xml:space="preserve">   OK Awal = posisi sudah benar sebelum run | Hasil Run = sukses setelah run.</t>
  </si>
  <si>
    <t>6. Log Run Otonom: tombol stopwatch SIAP/START/SELESAI (.xlsm) + checklist.</t>
  </si>
  <si>
    <t>7. Rekapitulasi: total otomatis. Input ke CIS (Chief Expert).</t>
  </si>
  <si>
    <t>Sheet: Panduan | Modul A-E | Undian Kubus | Log Run | Rekapitulasi</t>
  </si>
  <si>
    <t>MODUL A — Organisasi &amp; Manajemen Kerja (8 poin, Judgement)</t>
  </si>
  <si>
    <t>Bingung cara nilai Modul A? Buka panduan di GitHub (klik di sini)</t>
  </si>
  <si>
    <t>Tim No:</t>
  </si>
  <si>
    <t>Nama Tim:</t>
  </si>
  <si>
    <t>Kontingen:</t>
  </si>
  <si>
    <t>Tanggal:</t>
  </si>
  <si>
    <t>Juri 1:</t>
  </si>
  <si>
    <t>Juri 2:</t>
  </si>
  <si>
    <t>Juri 3:</t>
  </si>
  <si>
    <t>Sub</t>
  </si>
  <si>
    <t>Kriteria</t>
  </si>
  <si>
    <t>Max</t>
  </si>
  <si>
    <t>Juri 1</t>
  </si>
  <si>
    <t>Juri 2</t>
  </si>
  <si>
    <t>Juri 3</t>
  </si>
  <si>
    <t>Rata-rata</t>
  </si>
  <si>
    <t>Skor Akhir</t>
  </si>
  <si>
    <t>Selisih</t>
  </si>
  <si>
    <t>Catatan</t>
  </si>
  <si>
    <t>A1</t>
  </si>
  <si>
    <t>Efisiensi Penjadwalan Kerja</t>
  </si>
  <si>
    <t>A2</t>
  </si>
  <si>
    <t>Kolaborasi Tim &amp; Manajemen Tugas</t>
  </si>
  <si>
    <t>A3</t>
  </si>
  <si>
    <t>Organisasi &amp; Kerapian Area Kerja (5S)</t>
  </si>
  <si>
    <t>A4</t>
  </si>
  <si>
    <t>Restorasi Area Kerja</t>
  </si>
  <si>
    <t>TOTAL MODUL A</t>
  </si>
  <si>
    <t>MODUL B — Jurnal / Laporan Teknis (10 poin: J 8 + M 2)</t>
  </si>
  <si>
    <t>Bingung cara nilai Modul B? Buka panduan di GitHub (klik di sini)</t>
  </si>
  <si>
    <t>Deadline:</t>
  </si>
  <si>
    <t>Tepat Waktu (1/0):</t>
  </si>
  <si>
    <t>Kode</t>
  </si>
  <si>
    <t>Aspek</t>
  </si>
  <si>
    <t>Tipe</t>
  </si>
  <si>
    <t>J1</t>
  </si>
  <si>
    <t>J2</t>
  </si>
  <si>
    <t>J3</t>
  </si>
  <si>
    <t>B-J1</t>
  </si>
  <si>
    <t>Kualitas Fabrikasi Rangka &amp; Stabilitas</t>
  </si>
  <si>
    <t>J</t>
  </si>
  <si>
    <t>B-J2</t>
  </si>
  <si>
    <t>Manajemen Pengkabelan (Wiring)</t>
  </si>
  <si>
    <t>B-J3</t>
  </si>
  <si>
    <t>Integrasi Sistem Penggerak</t>
  </si>
  <si>
    <t>B-J4</t>
  </si>
  <si>
    <t>Kalibrasi Sensor &amp; Aktuator</t>
  </si>
  <si>
    <t>B-J5</t>
  </si>
  <si>
    <t>Optimasi Software-Hardware</t>
  </si>
  <si>
    <t>B-J6</t>
  </si>
  <si>
    <t>Kelengkapan Dokumentasi</t>
  </si>
  <si>
    <t>SUBTOTAL JUDGEMENT</t>
  </si>
  <si>
    <t>B-M1</t>
  </si>
  <si>
    <t>Ketepatan Mengumpulkan sesuai Waktu</t>
  </si>
  <si>
    <t>M</t>
  </si>
  <si>
    <t>TOTAL MODUL B</t>
  </si>
  <si>
    <t>CHECKLIST KELENGKAPAN (1=ada)</t>
  </si>
  <si>
    <t>C1</t>
  </si>
  <si>
    <t>Analisis Tugas &amp; Strategi</t>
  </si>
  <si>
    <t>C2</t>
  </si>
  <si>
    <t>Desain Mekanik</t>
  </si>
  <si>
    <t>C3</t>
  </si>
  <si>
    <t>Diagram Blok</t>
  </si>
  <si>
    <t>C4</t>
  </si>
  <si>
    <t>Bill of Materials</t>
  </si>
  <si>
    <t>C5</t>
  </si>
  <si>
    <t>Dokumentasi Fabrikasi</t>
  </si>
  <si>
    <t>C6</t>
  </si>
  <si>
    <t>Manajemen Kelistrikan</t>
  </si>
  <si>
    <t>C7</t>
  </si>
  <si>
    <t>Penempatan Sensor</t>
  </si>
  <si>
    <t>C8</t>
  </si>
  <si>
    <t>Arsitektur Software</t>
  </si>
  <si>
    <t>C9</t>
  </si>
  <si>
    <t>Algoritma Navigasi</t>
  </si>
  <si>
    <t>C10</t>
  </si>
  <si>
    <t>Algoritma Visi</t>
  </si>
  <si>
    <t>C11</t>
  </si>
  <si>
    <t>Flowchart</t>
  </si>
  <si>
    <t>C12</t>
  </si>
  <si>
    <t>Data Kalibrasi</t>
  </si>
  <si>
    <t>C13</t>
  </si>
  <si>
    <t>Tuning Kontroler</t>
  </si>
  <si>
    <t>C14</t>
  </si>
  <si>
    <t>Log Troubleshooting</t>
  </si>
  <si>
    <t>MODUL C — Pembuatan &amp; Perakitan Robot (10 poin, Judgement)</t>
  </si>
  <si>
    <t>Bingung cara nilai Modul C? Buka panduan di GitHub (klik di sini)</t>
  </si>
  <si>
    <t>Waktu Mulai:</t>
  </si>
  <si>
    <t>Waktu Selesai:</t>
  </si>
  <si>
    <t>Durasi (jam):</t>
  </si>
  <si>
    <t>Perakitan L-Channel sebagai Penyangga Utama Lift</t>
  </si>
  <si>
    <t>Integrasi Sistem Angkat / Gripper / Lifter</t>
  </si>
  <si>
    <t>Kualitas Rewiring (rapi, aman)</t>
  </si>
  <si>
    <t>Kelayakan Operasional (STOP, struktur stabil)</t>
  </si>
  <si>
    <t>TOTAL MODUL C</t>
  </si>
  <si>
    <t>CHECKLIST INSPEKSI (1=Lulus 0=Tidak)</t>
  </si>
  <si>
    <t>I1</t>
  </si>
  <si>
    <t>L-Channel sebagai penyangga utama angkat</t>
  </si>
  <si>
    <t>I2</t>
  </si>
  <si>
    <t>Sistem objek terpasang kuat di L-Channel</t>
  </si>
  <si>
    <t>I3</t>
  </si>
  <si>
    <t>Tidak ada kabel terbuka/terjepit</t>
  </si>
  <si>
    <t>I4</t>
  </si>
  <si>
    <t>Tombol STOP merah berfungsi</t>
  </si>
  <si>
    <t>I5</t>
  </si>
  <si>
    <t>Selesai dalam batas 2 jam</t>
  </si>
  <si>
    <t>I6</t>
  </si>
  <si>
    <t>Robot aman dioperasikan (K3)</t>
  </si>
  <si>
    <t>MODUL D — Gerakan Dasar &amp; Manajemen Objek (12 poin, Measurement)</t>
  </si>
  <si>
    <t>Bingung cara nilai Modul D? Buka panduan di GitHub (klik di sini)</t>
  </si>
  <si>
    <t>Juri Penilai:</t>
  </si>
  <si>
    <t>ID</t>
  </si>
  <si>
    <t>Evaluasi</t>
  </si>
  <si>
    <t>Indikator</t>
  </si>
  <si>
    <t>Bobot</t>
  </si>
  <si>
    <t>Hasil (1/0)</t>
  </si>
  <si>
    <t>Skor</t>
  </si>
  <si>
    <t>D1a</t>
  </si>
  <si>
    <t>Gerak maju 200-300 mm</t>
  </si>
  <si>
    <t>Observasi</t>
  </si>
  <si>
    <t>D1b</t>
  </si>
  <si>
    <t>Gerak mundur 200-300 mm</t>
  </si>
  <si>
    <t>D1c</t>
  </si>
  <si>
    <t>Gerak kanan 200-300 mm</t>
  </si>
  <si>
    <t>D1d</t>
  </si>
  <si>
    <t>Gerak kiri 200-300 mm</t>
  </si>
  <si>
    <t>D2a</t>
  </si>
  <si>
    <t>Maju stop 50-100 mm dari dinding</t>
  </si>
  <si>
    <t>D2b</t>
  </si>
  <si>
    <t>Kanan stop 50-100 mm dari dinding</t>
  </si>
  <si>
    <t>D3</t>
  </si>
  <si>
    <t>Ikuti garis U</t>
  </si>
  <si>
    <t>Line follower</t>
  </si>
  <si>
    <t>D4</t>
  </si>
  <si>
    <t>Deteksi merah → teks merah</t>
  </si>
  <si>
    <t>Monitor</t>
  </si>
  <si>
    <t>D5</t>
  </si>
  <si>
    <t>Deteksi hijau → teks hijau</t>
  </si>
  <si>
    <t>D6</t>
  </si>
  <si>
    <t>Deteksi biru → teks biru</t>
  </si>
  <si>
    <t>D7</t>
  </si>
  <si>
    <t>Deteksi O-merah</t>
  </si>
  <si>
    <t>D8</t>
  </si>
  <si>
    <t>Deteksi O-hijau</t>
  </si>
  <si>
    <t>D9</t>
  </si>
  <si>
    <t>Pick kubus dari rak otonom</t>
  </si>
  <si>
    <t>Observasi arm</t>
  </si>
  <si>
    <t>D10</t>
  </si>
  <si>
    <t>Place kubus ke standbox</t>
  </si>
  <si>
    <t>TOTAL (skala 12)</t>
  </si>
  <si>
    <t>Bobot mentah item = 12.9</t>
  </si>
  <si>
    <t>LEMBAR UNDIAN POSISI KUBUS — LKS 2026</t>
  </si>
  <si>
    <t>Bingung cara isi? Buka panduan Undian Kubus di GitHub (klik di sini)</t>
  </si>
  <si>
    <t>Run ID:</t>
  </si>
  <si>
    <t>RUN-01</t>
  </si>
  <si>
    <t>05</t>
  </si>
  <si>
    <t>SMK Contoh</t>
  </si>
  <si>
    <t>Hari:</t>
  </si>
  <si>
    <t>H2</t>
  </si>
  <si>
    <t>24/06/2026</t>
  </si>
  <si>
    <t>Arena No:</t>
  </si>
  <si>
    <t>2</t>
  </si>
  <si>
    <t>Fase:</t>
  </si>
  <si>
    <t>Trial</t>
  </si>
  <si>
    <t>Juru Acak:</t>
  </si>
  <si>
    <t>Juri Saksi:</t>
  </si>
  <si>
    <t>Waktu Undian:</t>
  </si>
  <si>
    <t>KATALOG KUBUS (referensi — 9 buah)</t>
  </si>
  <si>
    <t>ID Kubus</t>
  </si>
  <si>
    <t>Warna</t>
  </si>
  <si>
    <t>Bentuk</t>
  </si>
  <si>
    <t>RGB</t>
  </si>
  <si>
    <t>K-M1</t>
  </si>
  <si>
    <t>Merah</t>
  </si>
  <si>
    <t>Lingkaran</t>
  </si>
  <si>
    <t>255-0-0</t>
  </si>
  <si>
    <t>K-M2</t>
  </si>
  <si>
    <t>Persegi</t>
  </si>
  <si>
    <t>K-M3</t>
  </si>
  <si>
    <t>Segitiga</t>
  </si>
  <si>
    <t>K-H1</t>
  </si>
  <si>
    <t>Hijau</t>
  </si>
  <si>
    <t>0-255-0</t>
  </si>
  <si>
    <t>K-H2</t>
  </si>
  <si>
    <t>K-H3</t>
  </si>
  <si>
    <t>K-B1</t>
  </si>
  <si>
    <t>Biru</t>
  </si>
  <si>
    <t>0-0-255</t>
  </si>
  <si>
    <t>K-B2</t>
  </si>
  <si>
    <t>K-B3</t>
  </si>
  <si>
    <t>KONFIGURASI MARKER RAK — isi warna di baris 24 (ketik: Merah / Hijau / Biru)</t>
  </si>
  <si>
    <t>KETERANGAN: R1–R3 = Rak 1–3 di arena (3 buah rak, masing-masing 3 slot). S1/S2/S3 = Slot kiri / tengah / kanan (dilihat dari depan rak). Marker = warna label di ATAS slot — kubus sukses jika ditaruh di slot yang marker-nya sama warnanya dengan kubus.</t>
  </si>
  <si>
    <t>▼ RAK 1</t>
  </si>
  <si>
    <t>▼ RAK 2</t>
  </si>
  <si>
    <t>▼ RAK 3</t>
  </si>
  <si>
    <t>Rak1 · kiri</t>
  </si>
  <si>
    <t>Rak1 · tengah</t>
  </si>
  <si>
    <t>Rak1 · kanan</t>
  </si>
  <si>
    <t>Rak2 · kiri</t>
  </si>
  <si>
    <t>Rak2 · tengah</t>
  </si>
  <si>
    <t>Rak2 · kanan</t>
  </si>
  <si>
    <t>Rak3 · kiri</t>
  </si>
  <si>
    <t>Rak3 · tengah</t>
  </si>
  <si>
    <t>Rak3 · kanan</t>
  </si>
  <si>
    <t>POSISI AWAL SETELAH UNDIAN (isi ID kubus — kolom lain otomatis)</t>
  </si>
  <si>
    <t>Lokasi Awal</t>
  </si>
  <si>
    <t>Rak/Stand</t>
  </si>
  <si>
    <t>Slot</t>
  </si>
  <si>
    <t>Sudah Benar (1/0)</t>
  </si>
  <si>
    <t>Target Rak</t>
  </si>
  <si>
    <t>Target Marker</t>
  </si>
  <si>
    <t>Perlu Dipindah?</t>
  </si>
  <si>
    <t>Rak 1</t>
  </si>
  <si>
    <t>kiri</t>
  </si>
  <si>
    <t>Stand A</t>
  </si>
  <si>
    <t>depan</t>
  </si>
  <si>
    <t>Rak 2</t>
  </si>
  <si>
    <t>tengah</t>
  </si>
  <si>
    <t>Rak 3</t>
  </si>
  <si>
    <t>Stand B</t>
  </si>
  <si>
    <t>kanan</t>
  </si>
  <si>
    <t>Stand C</t>
  </si>
  <si>
    <t>OBSTACLE — catat posisi obstacle yang dipakai di run ini (isi baris di bawah, kolom Obs 1–10). Tulis lokasi singkat; kolom tidak dipakai dikosongkan.</t>
  </si>
  <si>
    <t>Contoh isian: «kiri GATE» | «tengah arena» | «dekat Rak 2» | «antara START dan Rak 1» | «kanan bawah». Jumlah obstacle mengikuti soal hari itu (biasanya 6–10 buah).</t>
  </si>
  <si>
    <t>Obs 1</t>
  </si>
  <si>
    <t>Obs 2</t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</si>
  <si>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</si>
  <si>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</si>
  <si>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</si>
  <si>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</si>
  <si>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</si>
  <si>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</si>
  <si>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</si>
  <si>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</si>
  <si>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>kiri GATE</t>
  </si>
  <si>
    <t>tengah kiri arena</t>
  </si>
  <si>
    <t>tengah kanan arena</t>
  </si>
  <si>
    <t>kanan atas Rak 2</t>
  </si>
  <si>
    <t>bawah tengah</t>
  </si>
  <si>
    <t>dekat Rak 3</t>
  </si>
  <si>
    <t>Tanda tangan Juru Acak:</t>
  </si>
  <si>
    <t>Tanda tangan Juri:</t>
  </si>
  <si>
    <t>Tanda tangan Peserta (saksi):</t>
  </si>
  <si>
    <t>MODUL E — Performansi Otonom (60 poin, Measurement)</t>
  </si>
  <si>
    <t>Bingung cara pakai Modul E? Buka panduan lengkap di GitHub (klik di sini)</t>
  </si>
  <si>
    <t>Trial/Final:</t>
  </si>
  <si>
    <t>Waktu START:</t>
  </si>
  <si>
    <t>08:42</t>
  </si>
  <si>
    <t>PETUNJUK: Isi sheet Undian Kubus dulu — baris 24 (warna marker, baris kuning), kolom A baris 28–36 (ID kubus), E (Rak/Stand), F (Slot). Kolom di bawah terisi otomatis.</t>
  </si>
  <si>
    <t>No</t>
  </si>
  <si>
    <t>Posisi Awal</t>
  </si>
  <si>
    <t>Slot Target</t>
  </si>
  <si>
    <t>OK Awal (1/0)</t>
  </si>
  <si>
    <t>Hasil Run (1/0)</t>
  </si>
  <si>
    <t>TOTAL MODUL E</t>
  </si>
  <si>
    <t>Pelanggaran (1=ya):</t>
  </si>
  <si>
    <t>Sentuh laptop setelah SIAP</t>
  </si>
  <si>
    <t>Sentuh robot setelah START</t>
  </si>
  <si>
    <t>Tidak start via tombol robot</t>
  </si>
  <si>
    <t>Place manual oleh peserta</t>
  </si>
  <si>
    <t>LEMBAR LOG RUN OTONOM — LKS 2026</t>
  </si>
  <si>
    <t>Bingung alur SIAP/START &amp; pencatatan? Buka panduan Log Run di GitHub (klik di sini)</t>
  </si>
  <si>
    <t>Juri Pendamping:</t>
  </si>
  <si>
    <t>DATA RUN</t>
  </si>
  <si>
    <t>STOPWATCH RUN — klik tombol di bawah (file .xlsm, Enable Macro)</t>
  </si>
  <si>
    <t>Run No:</t>
  </si>
  <si>
    <t>Durasi live (F9):</t>
  </si>
  <si>
    <t>Waktu SIAP:</t>
  </si>
  <si>
    <t>08:40:00</t>
  </si>
  <si>
    <t>08:42:00</t>
  </si>
  <si>
    <t>08:55:00</t>
  </si>
  <si>
    <t>Durasi final:</t>
  </si>
  <si>
    <t>Undian ulang (1/0):</t>
  </si>
  <si>
    <t>Retry (1/0):</t>
  </si>
  <si>
    <t>Retry No:</t>
  </si>
  <si>
    <t>Menit:</t>
  </si>
  <si>
    <t>Tanpa macro (.xlsx): Ctrl+Shift+: untuk waktu | tekan F9 saat run untuk refresh durasi live. Disarankan .xlsm + tombol ▶ SIAP ▶ START ■ SELESAI (Enable Macro).</t>
  </si>
  <si>
    <t>CHECKLIST PROSEDUR JURI (isi 1 = selesai)</t>
  </si>
  <si>
    <t>Item</t>
  </si>
  <si>
    <t>OK (1/0)</t>
  </si>
  <si>
    <t>Layout arena dijelaskan ke peserta</t>
  </si>
  <si>
    <t>Peserta nyatakan SIAP</t>
  </si>
  <si>
    <t>Laptop tidak disentuh setelah SIAP</t>
  </si>
  <si>
    <t>Posisi kubus diacak / diacak ulang</t>
  </si>
  <si>
    <t>Sinyal START diberikan</t>
  </si>
  <si>
    <t>Peserta tekan tombol START di robot</t>
  </si>
  <si>
    <t>Run berjalan otonom</t>
  </si>
  <si>
    <t>Hasil dicatat di sheet Modul E</t>
  </si>
  <si>
    <t>Checklist selesai:</t>
  </si>
  <si>
    <t>KRONOLOGI KEJADIAN</t>
  </si>
  <si>
    <t>Waktu</t>
  </si>
  <si>
    <t>Kejadian</t>
  </si>
  <si>
    <t>Robot start dari posisi start</t>
  </si>
  <si>
    <t>Navigasi / pick / place</t>
  </si>
  <si>
    <t>Robot selesai / timeout / STOP</t>
  </si>
  <si>
    <t>HASIL SINGKAT</t>
  </si>
  <si>
    <t>Kubus berhasil ditempatkan benar:</t>
  </si>
  <si>
    <t>/ 9</t>
  </si>
  <si>
    <t>Skor Modul E run ini:</t>
  </si>
  <si>
    <t>/ 60</t>
  </si>
  <si>
    <t>Pelanggaran (ya/tidak):</t>
  </si>
  <si>
    <t>Jenis pelanggaran:</t>
  </si>
  <si>
    <t>Tanda tangan Peserta:</t>
  </si>
  <si>
    <t>Tanda tangan Chief Expert:</t>
  </si>
  <si>
    <t>REKAPITULASI SKOR — Robot Bergerak Otonom LKS 2026</t>
  </si>
  <si>
    <t>Bingung cara baca total &amp; input CIS? Buka panduan di GitHub (klik di sini)</t>
  </si>
  <si>
    <t>Modul</t>
  </si>
  <si>
    <t>Bobot Max</t>
  </si>
  <si>
    <t>Persen</t>
  </si>
  <si>
    <t>Metode</t>
  </si>
  <si>
    <t>A</t>
  </si>
  <si>
    <t>Organisasi &amp; Manajemen Kerja</t>
  </si>
  <si>
    <t>B</t>
  </si>
  <si>
    <t>Jurnal Teknis</t>
  </si>
  <si>
    <t>J+M</t>
  </si>
  <si>
    <t>C</t>
  </si>
  <si>
    <t>Perakitan Robot</t>
  </si>
  <si>
    <t>D</t>
  </si>
  <si>
    <t>Gerakan Dasar</t>
  </si>
  <si>
    <t>E</t>
  </si>
  <si>
    <t>Performa Otonom</t>
  </si>
  <si>
    <t>TOTAL</t>
  </si>
  <si>
    <t>Skor CIS (0-100):</t>
  </si>
  <si>
    <t>Skor Konversi (700):</t>
  </si>
  <si>
    <t>Medallion (&gt;700):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</si>
</sst>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u/>
      <sz val="11"/>
      <color rgb="FF0563C1"/>
      <name val="Calibri"/>
    </font>
    <font>
      <i/>
      <u/>
      <sz val="10"/>
      <color rgb="FF0563C1"/>
      <name val="Calibri"/>
    </font>
    <font>
      <b/>
      <sz val="11"/>
      <color rgb="FFFFFFFF"/>
      <name val="Calibri"/>
    </font>
    <font>
      <b/>
      <sz val="11"/>
      <name val="Calibri"/>
    </font>
    <font>
      <b/>
      <sz val="12"/>
      <name val="Calibri"/>
    </font>
    <font>
      <i/>
      <sz val="10"/>
      <color rgb="FF404040"/>
      <name val="Calibri"/>
    </font>
    <font>
      <b/>
      <sz val="11"/>
      <color rgb="FF1F4E79"/>
      <name val="Calibri"/>
    </font>
    <font>
      <i/>
      <sz val="11"/>
      <color rgb="FFC00000"/>
      <name val="Calibri"/>
    </font>
    <font>
      <b/>
      <sz val="14"/>
      <color rgb="FFC00000"/>
      <name val="Calibri"/>
    </font>
    <font>
      <i/>
      <sz val="9"/>
      <color rgb="FF40404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E8F4FC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6" fillId="0" borderId="0" xfId="0" applyFont="1"/>
    <xf numFmtId="0" fontId="7" fillId="0" borderId="0" xfId="0" applyFont="1"/>
    <xf numFmtId="0" fontId="0" fillId="4" borderId="0" xfId="0" applyFill="1"/>
    <xf numFmtId="21" fontId="0" fillId="0" borderId="0" xfId="0" applyNumberFormat="1"/>
    <xf numFmtId="46" fontId="11" fillId="6" borderId="0" xfId="0" applyNumberFormat="1" applyFont="1" applyFill="1" applyAlignment="1">
      <alignment horizontal="center"/>
    </xf>
    <xf numFmtId="46" fontId="0" fillId="5" borderId="0" xfId="0" applyNumberFormat="1" applyFill="1"/>
    <xf numFmtId="164" fontId="0" fillId="5" borderId="0" xfId="0" applyNumberFormat="1" applyFill="1"/>
    <xf numFmtId="0" fontId="1" fillId="0" borderId="0" xfId="0" applyFont="1"/>
    <xf numFmtId="0" fontId="0" fillId="0" borderId="0" xfId="0"/>
    <xf numFmtId="0" fontId="4" fillId="0" borderId="0" xfId="0" applyFont="1" applyAlignment="1">
      <alignment vertical="top" wrapText="1"/>
    </xf>
    <xf numFmtId="0" fontId="9" fillId="3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10" fillId="4" borderId="0" xfId="0" applyFont="1" applyFill="1" applyAlignment="1">
      <alignment wrapText="1"/>
    </xf>
    <xf numFmtId="0" fontId="9" fillId="5" borderId="0" xfId="0" applyFont="1" applyFill="1" applyAlignment="1">
      <alignment vertical="center" wrapText="1"/>
    </xf>
    <xf numFmtId="0" fontId="1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213360</xdr:rowOff>
        </xdr:from>
        <xdr:to>
          <xdr:col>9</xdr:col>
          <xdr:colOff>731520</xdr:colOff>
          <xdr:row>8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C8CE6EB-15A8-A2C4-C522-C1455A7F5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SIAP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6</xdr:row>
          <xdr:rowOff>213360</xdr:rowOff>
        </xdr:from>
        <xdr:to>
          <xdr:col>10</xdr:col>
          <xdr:colOff>701040</xdr:colOff>
          <xdr:row>8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172CAD2-D619-D4B7-FDB4-DBA934D73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746760</xdr:colOff>
          <xdr:row>6</xdr:row>
          <xdr:rowOff>213360</xdr:rowOff>
        </xdr:from>
        <xdr:to>
          <xdr:col>11</xdr:col>
          <xdr:colOff>525780</xdr:colOff>
          <xdr:row>8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444C538-B12E-81CA-DFB6-FD0A272F0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■ SELESAI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579120</xdr:colOff>
          <xdr:row>6</xdr:row>
          <xdr:rowOff>213360</xdr:rowOff>
        </xdr:from>
        <xdr:to>
          <xdr:col>12</xdr:col>
          <xdr:colOff>350520</xdr:colOff>
          <xdr:row>8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DD655CC-B4BB-CBFD-AEF2-02E502AA6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↺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antonprafanto/LKS2026/blob/main/docs/CONTOH-EXCEL-MODUL-E.md" TargetMode="External"/><Relationship Id="rId3" Type="http://schemas.openxmlformats.org/officeDocument/2006/relationships/hyperlink" Target="https://github.com/antonprafanto/LKS2026/blob/main/docs/SOP-JURI.md" TargetMode="External"/><Relationship Id="rId7" Type="http://schemas.openxmlformats.org/officeDocument/2006/relationships/hyperlink" Target="https://github.com/antonprafanto/LKS2026/blob/main/docs/PANDUAN-LOG-RUN.md" TargetMode="External"/><Relationship Id="rId2" Type="http://schemas.openxmlformats.org/officeDocument/2006/relationships/hyperlink" Target="https://github.com/antonprafanto/LKS2026/blob/main/docs/SOP-JURI.md" TargetMode="External"/><Relationship Id="rId1" Type="http://schemas.openxmlformats.org/officeDocument/2006/relationships/hyperlink" Target="https://github.com/antonprafanto/LKS2026/blob/main/docs/README.md" TargetMode="External"/><Relationship Id="rId6" Type="http://schemas.openxmlformats.org/officeDocument/2006/relationships/hyperlink" Target="https://github.com/antonprafanto/LKS2026/blob/main/docs/PANDUAN-MODUL-E.md" TargetMode="External"/><Relationship Id="rId11" Type="http://schemas.openxmlformats.org/officeDocument/2006/relationships/hyperlink" Target="https://github.com/antonprafanto/LKS2026" TargetMode="External"/><Relationship Id="rId5" Type="http://schemas.openxmlformats.org/officeDocument/2006/relationships/hyperlink" Target="https://github.com/antonprafanto/LKS2026/blob/main/docs/SOP-JURI.md" TargetMode="External"/><Relationship Id="rId10" Type="http://schemas.openxmlformats.org/officeDocument/2006/relationships/hyperlink" Target="https://github.com/antonprafanto/LKS2026/blob/main/docs/SOP-JURI.md" TargetMode="External"/><Relationship Id="rId4" Type="http://schemas.openxmlformats.org/officeDocument/2006/relationships/hyperlink" Target="https://github.com/antonprafanto/LKS2026/blob/main/docs/SOP-JURI.md" TargetMode="External"/><Relationship Id="rId9" Type="http://schemas.openxmlformats.org/officeDocument/2006/relationships/hyperlink" Target="https://github.com/antonprafanto/LKS2026/blob/main/docs/SOP-JURI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PANDUAN-MODUL-E.md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ntonprafanto/LKS2026/blob/main/docs/PANDUAN-LOG-RUN.md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3"/>
  <sheetViews>
    <sheetView tabSelected="1" workbookViewId="0"/>
  </sheetViews>
  <sheetFormatPr defaultRowHeight="14.4" x14ac:dyDescent="0.3"/>
  <cols>
    <col min="1" max="1" width="80" customWidth="1"/>
  </cols>
  <sheetData>
    <row r="1" spans="1:1" ht="18" x14ac:dyDescent="0.35">
      <c r="A1" s="1" t="s">
        <v>0</v>
      </c>
    </row>
    <row r="2" spans="1:1" x14ac:dyDescent="0.3">
      <c r="A2" s="2" t="s">
        <v>1</v>
      </c>
    </row>
    <row r="3" spans="1:1" x14ac:dyDescent="0.3">
      <c r="A3" s="3" t="s">
        <v>2</v>
      </c>
    </row>
    <row r="4" spans="1:1" x14ac:dyDescent="0.3">
      <c r="A4" s="3" t="s">
        <v>3</v>
      </c>
    </row>
    <row r="5" spans="1:1" x14ac:dyDescent="0.3">
      <c r="A5" s="3" t="s">
        <v>4</v>
      </c>
    </row>
    <row r="6" spans="1:1" x14ac:dyDescent="0.3">
      <c r="A6" s="3" t="s">
        <v>5</v>
      </c>
    </row>
    <row r="7" spans="1:1" x14ac:dyDescent="0.3">
      <c r="A7" s="3" t="s">
        <v>6</v>
      </c>
    </row>
    <row r="8" spans="1:1" x14ac:dyDescent="0.3">
      <c r="A8" s="3" t="s">
        <v>7</v>
      </c>
    </row>
    <row r="9" spans="1:1" x14ac:dyDescent="0.3">
      <c r="A9" s="3" t="s">
        <v>8</v>
      </c>
    </row>
    <row r="10" spans="1:1" x14ac:dyDescent="0.3">
      <c r="A10" s="3" t="s">
        <v>9</v>
      </c>
    </row>
    <row r="11" spans="1:1" x14ac:dyDescent="0.3">
      <c r="A11" s="3" t="s">
        <v>10</v>
      </c>
    </row>
    <row r="12" spans="1:1" x14ac:dyDescent="0.3">
      <c r="A12" s="3" t="s">
        <v>11</v>
      </c>
    </row>
    <row r="13" spans="1:1" x14ac:dyDescent="0.3">
      <c r="A13" s="3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5" spans="1:1" x14ac:dyDescent="0.3">
      <c r="A25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3" spans="1:1" x14ac:dyDescent="0.3">
      <c r="A33" t="s">
        <v>27</v>
      </c>
    </row>
  </sheetData>
  <hyperlinks>
    <hyperlink ref="A3" r:id="rId1" xr:uid="{00000000-0004-0000-0000-000000000000}"/>
    <hyperlink ref="A4" r:id="rId2" location="5-sop-penilaian-modul-a--organisasi--manajemen-kerja-8-poin-j" xr:uid="{00000000-0004-0000-0000-000001000000}"/>
    <hyperlink ref="A5" r:id="rId3" location="6-sop-penilaian-modul-b--jurnal-teknis-10-poin-j-8--m-2" xr:uid="{00000000-0004-0000-0000-000002000000}"/>
    <hyperlink ref="A6" r:id="rId4" location="7-sop-penilaian-modul-c--perakitan-robot-10-poin-j" xr:uid="{00000000-0004-0000-0000-000003000000}"/>
    <hyperlink ref="A7" r:id="rId5" location="8-sop-penilaian-modul-d--gerakan-dasar-12-poin-m" xr:uid="{00000000-0004-0000-0000-000004000000}"/>
    <hyperlink ref="A8" r:id="rId6" xr:uid="{00000000-0004-0000-0000-000005000000}"/>
    <hyperlink ref="A9" r:id="rId7" xr:uid="{00000000-0004-0000-0000-000006000000}"/>
    <hyperlink ref="A10" r:id="rId8" xr:uid="{00000000-0004-0000-0000-000007000000}"/>
    <hyperlink ref="A11" r:id="rId9" location="10-sop-pengacakan-kubus" xr:uid="{00000000-0004-0000-0000-000008000000}"/>
    <hyperlink ref="A12" r:id="rId10" location="12-rekapitulasi--cis" xr:uid="{00000000-0004-0000-0000-000009000000}"/>
    <hyperlink ref="A13" r:id="rId11" xr:uid="{00000000-0004-0000-0000-00000A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"/>
  <sheetViews>
    <sheetView workbookViewId="0"/>
  </sheetViews>
  <sheetFormatPr defaultRowHeight="14.4" x14ac:dyDescent="0.3"/>
  <cols>
    <col min="1" max="1" width="6" customWidth="1"/>
    <col min="2" max="2" width="38" customWidth="1"/>
    <col min="3" max="3" width="8" customWidth="1"/>
    <col min="4" max="6" width="10" customWidth="1"/>
    <col min="7" max="8" width="12" customWidth="1"/>
    <col min="9" max="9" width="10" customWidth="1"/>
    <col min="10" max="10" width="24" customWidth="1"/>
  </cols>
  <sheetData>
    <row r="1" spans="1:10" ht="18" x14ac:dyDescent="0.35">
      <c r="A1" s="13" t="s">
        <v>28</v>
      </c>
      <c r="B1" s="14"/>
      <c r="C1" s="14"/>
      <c r="D1" s="14"/>
      <c r="E1" s="14"/>
      <c r="F1" s="14"/>
      <c r="G1" s="14"/>
      <c r="H1" s="14"/>
      <c r="I1" s="14"/>
    </row>
    <row r="2" spans="1:10" ht="18" customHeight="1" x14ac:dyDescent="0.3">
      <c r="A2" s="15" t="s">
        <v>29</v>
      </c>
      <c r="B2" s="14"/>
      <c r="C2" s="14"/>
      <c r="D2" s="14"/>
      <c r="E2" s="14"/>
      <c r="F2" s="14"/>
      <c r="G2" s="14"/>
      <c r="H2" s="14"/>
      <c r="I2" s="14"/>
    </row>
    <row r="3" spans="1:10" x14ac:dyDescent="0.3">
      <c r="A3" t="s">
        <v>30</v>
      </c>
      <c r="C3" t="s">
        <v>31</v>
      </c>
      <c r="E3" t="s">
        <v>32</v>
      </c>
      <c r="G3" t="s">
        <v>33</v>
      </c>
    </row>
    <row r="4" spans="1:10" x14ac:dyDescent="0.3">
      <c r="A4" t="s">
        <v>34</v>
      </c>
      <c r="C4" t="s">
        <v>35</v>
      </c>
      <c r="E4" t="s">
        <v>36</v>
      </c>
    </row>
    <row r="6" spans="1:10" x14ac:dyDescent="0.3">
      <c r="A6" s="4" t="s">
        <v>37</v>
      </c>
      <c r="B6" s="4" t="s">
        <v>38</v>
      </c>
      <c r="C6" s="4" t="s">
        <v>39</v>
      </c>
      <c r="D6" s="4" t="s">
        <v>40</v>
      </c>
      <c r="E6" s="4" t="s">
        <v>41</v>
      </c>
      <c r="F6" s="4" t="s">
        <v>42</v>
      </c>
      <c r="G6" s="4" t="s">
        <v>43</v>
      </c>
      <c r="H6" s="4" t="s">
        <v>44</v>
      </c>
      <c r="I6" s="4" t="s">
        <v>45</v>
      </c>
      <c r="J6" s="4" t="s">
        <v>46</v>
      </c>
    </row>
    <row r="7" spans="1:10" x14ac:dyDescent="0.3">
      <c r="A7" t="s">
        <v>47</v>
      </c>
      <c r="B7" t="s">
        <v>48</v>
      </c>
      <c r="C7">
        <v>2</v>
      </c>
      <c r="D7" s="5"/>
      <c r="E7" s="5"/>
      <c r="F7" s="5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49</v>
      </c>
      <c r="B8" t="s">
        <v>50</v>
      </c>
      <c r="C8">
        <v>2</v>
      </c>
      <c r="D8" s="5"/>
      <c r="E8" s="5"/>
      <c r="F8" s="5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51</v>
      </c>
      <c r="B9" t="s">
        <v>52</v>
      </c>
      <c r="C9">
        <v>2</v>
      </c>
      <c r="D9" s="5"/>
      <c r="E9" s="5"/>
      <c r="F9" s="5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53</v>
      </c>
      <c r="B10" t="s">
        <v>54</v>
      </c>
      <c r="C10">
        <v>2</v>
      </c>
      <c r="D10" s="5"/>
      <c r="E10" s="5"/>
      <c r="F10" s="5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6" t="s">
        <v>55</v>
      </c>
      <c r="C11">
        <v>8</v>
      </c>
      <c r="H11">
        <f>SUM(H7:H10)</f>
        <v>0</v>
      </c>
    </row>
  </sheetData>
  <mergeCells count="2">
    <mergeCell ref="A1:I1"/>
    <mergeCell ref="A2:I2"/>
  </mergeCells>
  <hyperlinks>
    <hyperlink ref="A2" r:id="rId1" location="5-sop-penilaian-modul-a--organisasi--manajemen-kerja-8-poin-j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1"/>
  <sheetViews>
    <sheetView workbookViewId="0"/>
  </sheetViews>
  <sheetFormatPr defaultRowHeight="14.4" x14ac:dyDescent="0.3"/>
  <cols>
    <col min="1" max="1" width="8" customWidth="1"/>
    <col min="2" max="2" width="36" customWidth="1"/>
    <col min="3" max="3" width="6" customWidth="1"/>
    <col min="4" max="7" width="8" customWidth="1"/>
    <col min="8" max="9" width="10" customWidth="1"/>
    <col min="10" max="10" width="8" customWidth="1"/>
    <col min="11" max="11" width="20" customWidth="1"/>
  </cols>
  <sheetData>
    <row r="1" spans="1:11" ht="18" x14ac:dyDescent="0.35">
      <c r="A1" s="13" t="s">
        <v>56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8" customHeight="1" x14ac:dyDescent="0.3">
      <c r="A2" s="15" t="s">
        <v>57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1" x14ac:dyDescent="0.3">
      <c r="A3" t="s">
        <v>30</v>
      </c>
      <c r="C3" t="s">
        <v>31</v>
      </c>
      <c r="E3" t="s">
        <v>32</v>
      </c>
      <c r="G3" t="s">
        <v>58</v>
      </c>
    </row>
    <row r="4" spans="1:11" x14ac:dyDescent="0.3">
      <c r="A4" t="s">
        <v>34</v>
      </c>
      <c r="C4" t="s">
        <v>35</v>
      </c>
      <c r="E4" t="s">
        <v>36</v>
      </c>
      <c r="G4" t="s">
        <v>59</v>
      </c>
    </row>
    <row r="6" spans="1:11" x14ac:dyDescent="0.3">
      <c r="A6" s="4" t="s">
        <v>60</v>
      </c>
      <c r="B6" s="4" t="s">
        <v>61</v>
      </c>
      <c r="C6" s="4" t="s">
        <v>62</v>
      </c>
      <c r="D6" s="4" t="s">
        <v>39</v>
      </c>
      <c r="E6" s="4" t="s">
        <v>63</v>
      </c>
      <c r="F6" s="4" t="s">
        <v>64</v>
      </c>
      <c r="G6" s="4" t="s">
        <v>65</v>
      </c>
      <c r="H6" s="4" t="s">
        <v>43</v>
      </c>
      <c r="I6" s="4" t="s">
        <v>44</v>
      </c>
      <c r="J6" s="4" t="s">
        <v>45</v>
      </c>
      <c r="K6" s="4" t="s">
        <v>46</v>
      </c>
    </row>
    <row r="7" spans="1:11" x14ac:dyDescent="0.3">
      <c r="A7" t="s">
        <v>66</v>
      </c>
      <c r="B7" t="s">
        <v>67</v>
      </c>
      <c r="C7" t="s">
        <v>68</v>
      </c>
      <c r="D7">
        <v>1.5</v>
      </c>
      <c r="H7" t="str">
        <f t="shared" ref="H7:H12" si="0">IF(COUNT(E7:G7)=0,"",AVERAGE(E7:G7))</f>
        <v/>
      </c>
      <c r="I7">
        <f t="shared" ref="I7:I12" si="1">IF(H7="",0,H7*D7/3)</f>
        <v>0</v>
      </c>
      <c r="J7" t="str">
        <f t="shared" ref="J7:J12" si="2">IF(COUNT(E7:G7)&lt;2,"",MAX(E7:G7)-MIN(E7:G7))</f>
        <v/>
      </c>
    </row>
    <row r="8" spans="1:11" x14ac:dyDescent="0.3">
      <c r="A8" t="s">
        <v>69</v>
      </c>
      <c r="B8" t="s">
        <v>70</v>
      </c>
      <c r="C8" t="s">
        <v>68</v>
      </c>
      <c r="D8">
        <v>1.5</v>
      </c>
      <c r="H8" t="str">
        <f t="shared" si="0"/>
        <v/>
      </c>
      <c r="I8">
        <f t="shared" si="1"/>
        <v>0</v>
      </c>
      <c r="J8" t="str">
        <f t="shared" si="2"/>
        <v/>
      </c>
    </row>
    <row r="9" spans="1:11" x14ac:dyDescent="0.3">
      <c r="A9" t="s">
        <v>71</v>
      </c>
      <c r="B9" t="s">
        <v>72</v>
      </c>
      <c r="C9" t="s">
        <v>68</v>
      </c>
      <c r="D9">
        <v>1.5</v>
      </c>
      <c r="H9" t="str">
        <f t="shared" si="0"/>
        <v/>
      </c>
      <c r="I9">
        <f t="shared" si="1"/>
        <v>0</v>
      </c>
      <c r="J9" t="str">
        <f t="shared" si="2"/>
        <v/>
      </c>
    </row>
    <row r="10" spans="1:11" x14ac:dyDescent="0.3">
      <c r="A10" t="s">
        <v>73</v>
      </c>
      <c r="B10" t="s">
        <v>74</v>
      </c>
      <c r="C10" t="s">
        <v>68</v>
      </c>
      <c r="D10">
        <v>1.5</v>
      </c>
      <c r="H10" t="str">
        <f t="shared" si="0"/>
        <v/>
      </c>
      <c r="I10">
        <f t="shared" si="1"/>
        <v>0</v>
      </c>
      <c r="J10" t="str">
        <f t="shared" si="2"/>
        <v/>
      </c>
    </row>
    <row r="11" spans="1:11" x14ac:dyDescent="0.3">
      <c r="A11" t="s">
        <v>75</v>
      </c>
      <c r="B11" t="s">
        <v>76</v>
      </c>
      <c r="C11" t="s">
        <v>68</v>
      </c>
      <c r="D11">
        <v>1.5</v>
      </c>
      <c r="H11" t="str">
        <f t="shared" si="0"/>
        <v/>
      </c>
      <c r="I11">
        <f t="shared" si="1"/>
        <v>0</v>
      </c>
      <c r="J11" t="str">
        <f t="shared" si="2"/>
        <v/>
      </c>
    </row>
    <row r="12" spans="1:11" x14ac:dyDescent="0.3">
      <c r="A12" t="s">
        <v>77</v>
      </c>
      <c r="B12" t="s">
        <v>78</v>
      </c>
      <c r="C12" t="s">
        <v>68</v>
      </c>
      <c r="D12">
        <v>0.5</v>
      </c>
      <c r="H12" t="str">
        <f t="shared" si="0"/>
        <v/>
      </c>
      <c r="I12">
        <f t="shared" si="1"/>
        <v>0</v>
      </c>
      <c r="J12" t="str">
        <f t="shared" si="2"/>
        <v/>
      </c>
    </row>
    <row r="13" spans="1:11" x14ac:dyDescent="0.3">
      <c r="B13" s="6" t="s">
        <v>79</v>
      </c>
      <c r="D13">
        <v>8</v>
      </c>
      <c r="I13">
        <f>SUM(I7:I12)</f>
        <v>0</v>
      </c>
    </row>
    <row r="14" spans="1:11" x14ac:dyDescent="0.3">
      <c r="A14" t="s">
        <v>80</v>
      </c>
      <c r="B14" t="s">
        <v>81</v>
      </c>
      <c r="C14" t="s">
        <v>82</v>
      </c>
      <c r="D14">
        <v>2</v>
      </c>
      <c r="I14" t="e">
        <f>IF(G4="",0,G4*D14)</f>
        <v>#VALUE!</v>
      </c>
    </row>
    <row r="15" spans="1:11" x14ac:dyDescent="0.3">
      <c r="B15" s="6" t="s">
        <v>83</v>
      </c>
      <c r="D15">
        <v>10</v>
      </c>
      <c r="I15" t="e">
        <f>I13+I14</f>
        <v>#VALUE!</v>
      </c>
    </row>
    <row r="17" spans="1:2" x14ac:dyDescent="0.3">
      <c r="A17" s="6" t="s">
        <v>84</v>
      </c>
    </row>
    <row r="18" spans="1:2" x14ac:dyDescent="0.3">
      <c r="A18" t="s">
        <v>85</v>
      </c>
      <c r="B18" t="s">
        <v>86</v>
      </c>
    </row>
    <row r="19" spans="1:2" x14ac:dyDescent="0.3">
      <c r="A19" t="s">
        <v>87</v>
      </c>
      <c r="B19" t="s">
        <v>88</v>
      </c>
    </row>
    <row r="20" spans="1:2" x14ac:dyDescent="0.3">
      <c r="A20" t="s">
        <v>89</v>
      </c>
      <c r="B20" t="s">
        <v>90</v>
      </c>
    </row>
    <row r="21" spans="1:2" x14ac:dyDescent="0.3">
      <c r="A21" t="s">
        <v>91</v>
      </c>
      <c r="B21" t="s">
        <v>92</v>
      </c>
    </row>
    <row r="22" spans="1:2" x14ac:dyDescent="0.3">
      <c r="A22" t="s">
        <v>93</v>
      </c>
      <c r="B22" t="s">
        <v>94</v>
      </c>
    </row>
    <row r="23" spans="1:2" x14ac:dyDescent="0.3">
      <c r="A23" t="s">
        <v>95</v>
      </c>
      <c r="B23" t="s">
        <v>96</v>
      </c>
    </row>
    <row r="24" spans="1:2" x14ac:dyDescent="0.3">
      <c r="A24" t="s">
        <v>97</v>
      </c>
      <c r="B24" t="s">
        <v>98</v>
      </c>
    </row>
    <row r="25" spans="1:2" x14ac:dyDescent="0.3">
      <c r="A25" t="s">
        <v>99</v>
      </c>
      <c r="B25" t="s">
        <v>100</v>
      </c>
    </row>
    <row r="26" spans="1:2" x14ac:dyDescent="0.3">
      <c r="A26" t="s">
        <v>101</v>
      </c>
      <c r="B26" t="s">
        <v>102</v>
      </c>
    </row>
    <row r="27" spans="1:2" x14ac:dyDescent="0.3">
      <c r="A27" t="s">
        <v>103</v>
      </c>
      <c r="B27" t="s">
        <v>104</v>
      </c>
    </row>
    <row r="28" spans="1:2" x14ac:dyDescent="0.3">
      <c r="A28" t="s">
        <v>105</v>
      </c>
      <c r="B28" t="s">
        <v>106</v>
      </c>
    </row>
    <row r="29" spans="1:2" x14ac:dyDescent="0.3">
      <c r="A29" t="s">
        <v>107</v>
      </c>
      <c r="B29" t="s">
        <v>108</v>
      </c>
    </row>
    <row r="30" spans="1:2" x14ac:dyDescent="0.3">
      <c r="A30" t="s">
        <v>109</v>
      </c>
      <c r="B30" t="s">
        <v>110</v>
      </c>
    </row>
    <row r="31" spans="1:2" x14ac:dyDescent="0.3">
      <c r="A31" t="s">
        <v>111</v>
      </c>
      <c r="B31" t="s">
        <v>112</v>
      </c>
    </row>
  </sheetData>
  <mergeCells count="2">
    <mergeCell ref="A2:K2"/>
    <mergeCell ref="A1:K1"/>
  </mergeCells>
  <hyperlinks>
    <hyperlink ref="A2" r:id="rId1" location="6-sop-penilaian-modul-b--jurnal-teknis-10-poin-j-8--m-2" xr:uid="{00000000-0004-0000-0200-000000000000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9"/>
  <sheetViews>
    <sheetView workbookViewId="0"/>
  </sheetViews>
  <sheetFormatPr defaultRowHeight="14.4" x14ac:dyDescent="0.3"/>
  <cols>
    <col min="1" max="1" width="6" customWidth="1"/>
    <col min="2" max="2" width="42" customWidth="1"/>
    <col min="3" max="6" width="8" customWidth="1"/>
    <col min="7" max="8" width="10" customWidth="1"/>
    <col min="9" max="9" width="8" customWidth="1"/>
    <col min="10" max="10" width="22" customWidth="1"/>
  </cols>
  <sheetData>
    <row r="1" spans="1:10" ht="18" x14ac:dyDescent="0.35">
      <c r="A1" s="13" t="s">
        <v>113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18" customHeight="1" x14ac:dyDescent="0.3">
      <c r="A2" s="15" t="s">
        <v>114</v>
      </c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3">
      <c r="A3" t="s">
        <v>30</v>
      </c>
      <c r="C3" t="s">
        <v>31</v>
      </c>
      <c r="E3" t="s">
        <v>115</v>
      </c>
      <c r="G3" t="s">
        <v>116</v>
      </c>
      <c r="I3" t="s">
        <v>117</v>
      </c>
    </row>
    <row r="4" spans="1:10" x14ac:dyDescent="0.3">
      <c r="A4" t="s">
        <v>34</v>
      </c>
      <c r="C4" t="s">
        <v>35</v>
      </c>
      <c r="E4" t="s">
        <v>36</v>
      </c>
    </row>
    <row r="6" spans="1:10" x14ac:dyDescent="0.3">
      <c r="A6" s="4" t="s">
        <v>37</v>
      </c>
      <c r="B6" s="4" t="s">
        <v>38</v>
      </c>
      <c r="C6" s="4" t="s">
        <v>39</v>
      </c>
      <c r="D6" s="4" t="s">
        <v>63</v>
      </c>
      <c r="E6" s="4" t="s">
        <v>64</v>
      </c>
      <c r="F6" s="4" t="s">
        <v>65</v>
      </c>
      <c r="G6" s="4" t="s">
        <v>43</v>
      </c>
      <c r="H6" s="4" t="s">
        <v>44</v>
      </c>
      <c r="I6" s="4" t="s">
        <v>45</v>
      </c>
      <c r="J6" s="4" t="s">
        <v>46</v>
      </c>
    </row>
    <row r="7" spans="1:10" x14ac:dyDescent="0.3">
      <c r="A7" t="s">
        <v>85</v>
      </c>
      <c r="B7" t="s">
        <v>118</v>
      </c>
      <c r="C7">
        <v>2.5</v>
      </c>
      <c r="D7" s="5"/>
      <c r="E7" s="5"/>
      <c r="F7" s="5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87</v>
      </c>
      <c r="B8" t="s">
        <v>119</v>
      </c>
      <c r="C8">
        <v>2.5</v>
      </c>
      <c r="D8" s="5"/>
      <c r="E8" s="5"/>
      <c r="F8" s="5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89</v>
      </c>
      <c r="B9" t="s">
        <v>120</v>
      </c>
      <c r="C9">
        <v>2.5</v>
      </c>
      <c r="D9" s="5"/>
      <c r="E9" s="5"/>
      <c r="F9" s="5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91</v>
      </c>
      <c r="B10" t="s">
        <v>121</v>
      </c>
      <c r="C10">
        <v>2.5</v>
      </c>
      <c r="D10" s="5"/>
      <c r="E10" s="5"/>
      <c r="F10" s="5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6" t="s">
        <v>122</v>
      </c>
      <c r="C11">
        <v>10</v>
      </c>
      <c r="H11">
        <f>SUM(H7:H10)</f>
        <v>0</v>
      </c>
    </row>
    <row r="13" spans="1:10" x14ac:dyDescent="0.3">
      <c r="A13" s="6" t="s">
        <v>123</v>
      </c>
    </row>
    <row r="14" spans="1:10" x14ac:dyDescent="0.3">
      <c r="A14" t="s">
        <v>124</v>
      </c>
      <c r="B14" t="s">
        <v>125</v>
      </c>
    </row>
    <row r="15" spans="1:10" x14ac:dyDescent="0.3">
      <c r="A15" t="s">
        <v>126</v>
      </c>
      <c r="B15" t="s">
        <v>127</v>
      </c>
    </row>
    <row r="16" spans="1:10" x14ac:dyDescent="0.3">
      <c r="A16" t="s">
        <v>128</v>
      </c>
      <c r="B16" t="s">
        <v>129</v>
      </c>
    </row>
    <row r="17" spans="1:2" x14ac:dyDescent="0.3">
      <c r="A17" t="s">
        <v>130</v>
      </c>
      <c r="B17" t="s">
        <v>131</v>
      </c>
    </row>
    <row r="18" spans="1:2" x14ac:dyDescent="0.3">
      <c r="A18" t="s">
        <v>132</v>
      </c>
      <c r="B18" t="s">
        <v>133</v>
      </c>
    </row>
    <row r="19" spans="1:2" x14ac:dyDescent="0.3">
      <c r="A19" t="s">
        <v>134</v>
      </c>
      <c r="B19" t="s">
        <v>135</v>
      </c>
    </row>
  </sheetData>
  <mergeCells count="2">
    <mergeCell ref="A1:J1"/>
    <mergeCell ref="A2:J2"/>
  </mergeCells>
  <hyperlinks>
    <hyperlink ref="A2" r:id="rId1" location="7-sop-penilaian-modul-c--perakitan-robot-10-poin-j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/>
  </sheetViews>
  <sheetFormatPr defaultRowHeight="14.4" x14ac:dyDescent="0.3"/>
  <cols>
    <col min="1" max="1" width="8" customWidth="1"/>
    <col min="2" max="2" width="34" customWidth="1"/>
    <col min="3" max="3" width="16" customWidth="1"/>
    <col min="4" max="4" width="8" customWidth="1"/>
    <col min="5" max="5" width="12" customWidth="1"/>
    <col min="6" max="6" width="10" customWidth="1"/>
    <col min="7" max="7" width="24" customWidth="1"/>
  </cols>
  <sheetData>
    <row r="1" spans="1:7" ht="18" x14ac:dyDescent="0.35">
      <c r="A1" s="13" t="s">
        <v>136</v>
      </c>
      <c r="B1" s="14"/>
      <c r="C1" s="14"/>
      <c r="D1" s="14"/>
      <c r="E1" s="14"/>
      <c r="F1" s="14"/>
      <c r="G1" s="14"/>
    </row>
    <row r="2" spans="1:7" ht="18" customHeight="1" x14ac:dyDescent="0.3">
      <c r="A2" s="15" t="s">
        <v>137</v>
      </c>
      <c r="B2" s="14"/>
      <c r="C2" s="14"/>
      <c r="D2" s="14"/>
      <c r="E2" s="14"/>
      <c r="F2" s="14"/>
      <c r="G2" s="14"/>
    </row>
    <row r="3" spans="1:7" x14ac:dyDescent="0.3">
      <c r="A3" t="s">
        <v>30</v>
      </c>
      <c r="C3" t="s">
        <v>31</v>
      </c>
      <c r="E3" t="s">
        <v>33</v>
      </c>
    </row>
    <row r="4" spans="1:7" x14ac:dyDescent="0.3">
      <c r="A4" t="s">
        <v>138</v>
      </c>
    </row>
    <row r="6" spans="1:7" x14ac:dyDescent="0.3">
      <c r="A6" s="4" t="s">
        <v>139</v>
      </c>
      <c r="B6" s="4" t="s">
        <v>140</v>
      </c>
      <c r="C6" s="4" t="s">
        <v>141</v>
      </c>
      <c r="D6" s="4" t="s">
        <v>142</v>
      </c>
      <c r="E6" s="4" t="s">
        <v>143</v>
      </c>
      <c r="F6" s="4" t="s">
        <v>144</v>
      </c>
      <c r="G6" s="4" t="s">
        <v>46</v>
      </c>
    </row>
    <row r="7" spans="1:7" x14ac:dyDescent="0.3">
      <c r="A7" t="s">
        <v>145</v>
      </c>
      <c r="B7" t="s">
        <v>146</v>
      </c>
      <c r="C7" t="s">
        <v>147</v>
      </c>
      <c r="D7">
        <v>0.5</v>
      </c>
      <c r="F7">
        <f t="shared" ref="F7:F20" si="0">IF(E7="",0,E7*D7)</f>
        <v>0</v>
      </c>
    </row>
    <row r="8" spans="1:7" x14ac:dyDescent="0.3">
      <c r="A8" t="s">
        <v>148</v>
      </c>
      <c r="B8" t="s">
        <v>149</v>
      </c>
      <c r="C8" t="s">
        <v>147</v>
      </c>
      <c r="D8">
        <v>0.5</v>
      </c>
      <c r="F8">
        <f t="shared" si="0"/>
        <v>0</v>
      </c>
    </row>
    <row r="9" spans="1:7" x14ac:dyDescent="0.3">
      <c r="A9" t="s">
        <v>150</v>
      </c>
      <c r="B9" t="s">
        <v>151</v>
      </c>
      <c r="C9" t="s">
        <v>147</v>
      </c>
      <c r="D9">
        <v>0.5</v>
      </c>
      <c r="F9">
        <f t="shared" si="0"/>
        <v>0</v>
      </c>
    </row>
    <row r="10" spans="1:7" x14ac:dyDescent="0.3">
      <c r="A10" t="s">
        <v>152</v>
      </c>
      <c r="B10" t="s">
        <v>153</v>
      </c>
      <c r="C10" t="s">
        <v>147</v>
      </c>
      <c r="D10">
        <v>0.5</v>
      </c>
      <c r="F10">
        <f t="shared" si="0"/>
        <v>0</v>
      </c>
    </row>
    <row r="11" spans="1:7" x14ac:dyDescent="0.3">
      <c r="A11" t="s">
        <v>154</v>
      </c>
      <c r="B11" t="s">
        <v>155</v>
      </c>
      <c r="C11" t="s">
        <v>147</v>
      </c>
      <c r="D11">
        <v>0.3</v>
      </c>
      <c r="F11">
        <f t="shared" si="0"/>
        <v>0</v>
      </c>
    </row>
    <row r="12" spans="1:7" x14ac:dyDescent="0.3">
      <c r="A12" t="s">
        <v>156</v>
      </c>
      <c r="B12" t="s">
        <v>157</v>
      </c>
      <c r="C12" t="s">
        <v>147</v>
      </c>
      <c r="D12">
        <v>0.6</v>
      </c>
      <c r="F12">
        <f t="shared" si="0"/>
        <v>0</v>
      </c>
    </row>
    <row r="13" spans="1:7" x14ac:dyDescent="0.3">
      <c r="A13" t="s">
        <v>158</v>
      </c>
      <c r="B13" t="s">
        <v>159</v>
      </c>
      <c r="C13" t="s">
        <v>160</v>
      </c>
      <c r="D13">
        <v>1</v>
      </c>
      <c r="F13">
        <f t="shared" si="0"/>
        <v>0</v>
      </c>
    </row>
    <row r="14" spans="1:7" x14ac:dyDescent="0.3">
      <c r="A14" t="s">
        <v>161</v>
      </c>
      <c r="B14" t="s">
        <v>162</v>
      </c>
      <c r="C14" t="s">
        <v>163</v>
      </c>
      <c r="D14">
        <v>1</v>
      </c>
      <c r="F14">
        <f t="shared" si="0"/>
        <v>0</v>
      </c>
    </row>
    <row r="15" spans="1:7" x14ac:dyDescent="0.3">
      <c r="A15" t="s">
        <v>164</v>
      </c>
      <c r="B15" t="s">
        <v>165</v>
      </c>
      <c r="C15" t="s">
        <v>163</v>
      </c>
      <c r="D15">
        <v>1</v>
      </c>
      <c r="F15">
        <f t="shared" si="0"/>
        <v>0</v>
      </c>
    </row>
    <row r="16" spans="1:7" x14ac:dyDescent="0.3">
      <c r="A16" t="s">
        <v>166</v>
      </c>
      <c r="B16" t="s">
        <v>167</v>
      </c>
      <c r="C16" t="s">
        <v>163</v>
      </c>
      <c r="D16">
        <v>1</v>
      </c>
      <c r="F16">
        <f t="shared" si="0"/>
        <v>0</v>
      </c>
    </row>
    <row r="17" spans="1:7" x14ac:dyDescent="0.3">
      <c r="A17" t="s">
        <v>168</v>
      </c>
      <c r="B17" t="s">
        <v>169</v>
      </c>
      <c r="C17" t="s">
        <v>163</v>
      </c>
      <c r="D17">
        <v>1</v>
      </c>
      <c r="F17">
        <f t="shared" si="0"/>
        <v>0</v>
      </c>
    </row>
    <row r="18" spans="1:7" x14ac:dyDescent="0.3">
      <c r="A18" t="s">
        <v>170</v>
      </c>
      <c r="B18" t="s">
        <v>171</v>
      </c>
      <c r="C18" t="s">
        <v>163</v>
      </c>
      <c r="D18">
        <v>1</v>
      </c>
      <c r="F18">
        <f t="shared" si="0"/>
        <v>0</v>
      </c>
    </row>
    <row r="19" spans="1:7" x14ac:dyDescent="0.3">
      <c r="A19" t="s">
        <v>172</v>
      </c>
      <c r="B19" t="s">
        <v>173</v>
      </c>
      <c r="C19" t="s">
        <v>174</v>
      </c>
      <c r="D19">
        <v>2</v>
      </c>
      <c r="F19">
        <f t="shared" si="0"/>
        <v>0</v>
      </c>
    </row>
    <row r="20" spans="1:7" x14ac:dyDescent="0.3">
      <c r="A20" t="s">
        <v>175</v>
      </c>
      <c r="B20" t="s">
        <v>176</v>
      </c>
      <c r="C20" t="s">
        <v>174</v>
      </c>
      <c r="D20">
        <v>2</v>
      </c>
      <c r="F20">
        <f t="shared" si="0"/>
        <v>0</v>
      </c>
    </row>
    <row r="21" spans="1:7" x14ac:dyDescent="0.3">
      <c r="B21" s="6" t="s">
        <v>177</v>
      </c>
      <c r="D21">
        <v>12</v>
      </c>
      <c r="F21">
        <f>ROUND(SUM(F7:F20)*12/12.9,2)</f>
        <v>0</v>
      </c>
      <c r="G21" t="s">
        <v>178</v>
      </c>
    </row>
  </sheetData>
  <mergeCells count="2">
    <mergeCell ref="A2:G2"/>
    <mergeCell ref="A1:G1"/>
  </mergeCells>
  <hyperlinks>
    <hyperlink ref="A2" r:id="rId1" location="8-sop-penilaian-modul-d--gerakan-dasar-12-poin-m" xr:uid="{00000000-0004-0000-0400-000000000000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43"/>
  <sheetViews>
    <sheetView workbookViewId="0"/>
  </sheetViews>
  <sheetFormatPr defaultRowHeight="14.4" x14ac:dyDescent="0.3"/>
  <cols>
    <col min="1" max="1" width="12" customWidth="1"/>
    <col min="2" max="3" width="10" customWidth="1"/>
    <col min="4" max="4" width="14" customWidth="1"/>
    <col min="5" max="5" width="12" customWidth="1"/>
    <col min="6" max="6" width="8" customWidth="1"/>
    <col min="7" max="7" width="14" customWidth="1"/>
    <col min="8" max="8" width="12" customWidth="1"/>
    <col min="9" max="10" width="14" customWidth="1"/>
    <col min="11" max="11" width="18" customWidth="1"/>
  </cols>
  <sheetData>
    <row r="1" spans="1:11" ht="18" x14ac:dyDescent="0.35">
      <c r="A1" s="13" t="s">
        <v>179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8" customHeight="1" x14ac:dyDescent="0.3">
      <c r="A2" s="15" t="s">
        <v>180</v>
      </c>
      <c r="B2" s="14"/>
      <c r="C2" s="14"/>
      <c r="D2" s="14"/>
      <c r="E2" s="14"/>
      <c r="F2" s="14"/>
      <c r="G2" s="14"/>
      <c r="H2" s="14"/>
      <c r="I2" s="14"/>
      <c r="J2" s="14"/>
    </row>
    <row r="3" spans="1:11" x14ac:dyDescent="0.3">
      <c r="A3" s="6" t="s">
        <v>181</v>
      </c>
      <c r="B3" t="s">
        <v>182</v>
      </c>
      <c r="D3" s="6" t="s">
        <v>30</v>
      </c>
      <c r="E3" t="s">
        <v>183</v>
      </c>
      <c r="G3" s="6" t="s">
        <v>31</v>
      </c>
      <c r="H3" t="s">
        <v>184</v>
      </c>
    </row>
    <row r="4" spans="1:11" x14ac:dyDescent="0.3">
      <c r="A4" s="6" t="s">
        <v>185</v>
      </c>
      <c r="B4" t="s">
        <v>186</v>
      </c>
      <c r="D4" s="6" t="s">
        <v>33</v>
      </c>
      <c r="E4" t="s">
        <v>187</v>
      </c>
      <c r="G4" s="6" t="s">
        <v>188</v>
      </c>
      <c r="H4" t="s">
        <v>189</v>
      </c>
    </row>
    <row r="5" spans="1:11" x14ac:dyDescent="0.3">
      <c r="A5" s="6" t="s">
        <v>190</v>
      </c>
      <c r="B5" t="s">
        <v>191</v>
      </c>
      <c r="D5" s="6" t="s">
        <v>192</v>
      </c>
      <c r="G5" s="6" t="s">
        <v>193</v>
      </c>
    </row>
    <row r="6" spans="1:11" x14ac:dyDescent="0.3">
      <c r="A6" s="6" t="s">
        <v>194</v>
      </c>
    </row>
    <row r="8" spans="1:11" ht="15.6" x14ac:dyDescent="0.3">
      <c r="A8" s="7" t="s">
        <v>195</v>
      </c>
    </row>
    <row r="9" spans="1:11" x14ac:dyDescent="0.3">
      <c r="A9" s="4" t="s">
        <v>196</v>
      </c>
      <c r="B9" s="4" t="s">
        <v>197</v>
      </c>
      <c r="C9" s="4" t="s">
        <v>198</v>
      </c>
      <c r="D9" s="4" t="s">
        <v>199</v>
      </c>
    </row>
    <row r="10" spans="1:11" x14ac:dyDescent="0.3">
      <c r="A10" t="s">
        <v>200</v>
      </c>
      <c r="B10" t="s">
        <v>201</v>
      </c>
      <c r="C10" t="s">
        <v>202</v>
      </c>
      <c r="D10" t="s">
        <v>203</v>
      </c>
    </row>
    <row r="11" spans="1:11" x14ac:dyDescent="0.3">
      <c r="A11" t="s">
        <v>204</v>
      </c>
      <c r="B11" t="s">
        <v>201</v>
      </c>
      <c r="C11" t="s">
        <v>205</v>
      </c>
      <c r="D11" t="s">
        <v>203</v>
      </c>
    </row>
    <row r="12" spans="1:11" x14ac:dyDescent="0.3">
      <c r="A12" t="s">
        <v>206</v>
      </c>
      <c r="B12" t="s">
        <v>201</v>
      </c>
      <c r="C12" t="s">
        <v>207</v>
      </c>
      <c r="D12" t="s">
        <v>203</v>
      </c>
    </row>
    <row r="13" spans="1:11" x14ac:dyDescent="0.3">
      <c r="A13" t="s">
        <v>208</v>
      </c>
      <c r="B13" t="s">
        <v>209</v>
      </c>
      <c r="C13" t="s">
        <v>202</v>
      </c>
      <c r="D13" t="s">
        <v>210</v>
      </c>
    </row>
    <row r="14" spans="1:11" x14ac:dyDescent="0.3">
      <c r="A14" t="s">
        <v>211</v>
      </c>
      <c r="B14" t="s">
        <v>209</v>
      </c>
      <c r="C14" t="s">
        <v>205</v>
      </c>
      <c r="D14" t="s">
        <v>210</v>
      </c>
    </row>
    <row r="15" spans="1:11" x14ac:dyDescent="0.3">
      <c r="A15" t="s">
        <v>212</v>
      </c>
      <c r="B15" t="s">
        <v>209</v>
      </c>
      <c r="C15" t="s">
        <v>207</v>
      </c>
      <c r="D15" t="s">
        <v>210</v>
      </c>
    </row>
    <row r="16" spans="1:11" x14ac:dyDescent="0.3">
      <c r="A16" t="s">
        <v>213</v>
      </c>
      <c r="B16" t="s">
        <v>214</v>
      </c>
      <c r="C16" t="s">
        <v>202</v>
      </c>
      <c r="D16" t="s">
        <v>215</v>
      </c>
    </row>
    <row r="17" spans="1:11" x14ac:dyDescent="0.3">
      <c r="A17" t="s">
        <v>216</v>
      </c>
      <c r="B17" t="s">
        <v>214</v>
      </c>
      <c r="C17" t="s">
        <v>205</v>
      </c>
      <c r="D17" t="s">
        <v>215</v>
      </c>
    </row>
    <row r="18" spans="1:11" x14ac:dyDescent="0.3">
      <c r="A18" t="s">
        <v>217</v>
      </c>
      <c r="B18" t="s">
        <v>214</v>
      </c>
      <c r="C18" t="s">
        <v>207</v>
      </c>
      <c r="D18" t="s">
        <v>215</v>
      </c>
    </row>
    <row r="20" spans="1:11" ht="28.05" customHeight="1" x14ac:dyDescent="0.3">
      <c r="A20" s="19" t="s">
        <v>218</v>
      </c>
      <c r="B20" s="14"/>
      <c r="C20" s="14"/>
      <c r="D20" s="14"/>
      <c r="E20" s="14"/>
      <c r="F20" s="14"/>
      <c r="G20" s="14"/>
      <c r="H20" s="14"/>
      <c r="I20" s="14"/>
    </row>
    <row r="21" spans="1:11" ht="42" customHeight="1" x14ac:dyDescent="0.3">
      <c r="A21" s="20" t="s">
        <v>219</v>
      </c>
      <c r="B21" s="14"/>
      <c r="C21" s="14"/>
      <c r="D21" s="14"/>
      <c r="E21" s="14"/>
      <c r="F21" s="14"/>
      <c r="G21" s="14"/>
      <c r="H21" s="14"/>
      <c r="I21" s="14"/>
    </row>
    <row r="22" spans="1:11" x14ac:dyDescent="0.3">
      <c r="A22" s="16" t="s">
        <v>220</v>
      </c>
      <c r="B22" s="14"/>
      <c r="C22" s="14"/>
      <c r="D22" s="16" t="s">
        <v>221</v>
      </c>
      <c r="E22" s="14"/>
      <c r="F22" s="14"/>
      <c r="G22" s="16" t="s">
        <v>222</v>
      </c>
      <c r="H22" s="14"/>
      <c r="I22" s="14"/>
    </row>
    <row r="23" spans="1:11" ht="28.8" x14ac:dyDescent="0.3">
      <c r="A23" s="4" t="s">
        <v>223</v>
      </c>
      <c r="B23" s="4" t="s">
        <v>224</v>
      </c>
      <c r="C23" s="4" t="s">
        <v>225</v>
      </c>
      <c r="D23" s="4" t="s">
        <v>226</v>
      </c>
      <c r="E23" s="4" t="s">
        <v>227</v>
      </c>
      <c r="F23" s="4" t="s">
        <v>228</v>
      </c>
      <c r="G23" s="4" t="s">
        <v>229</v>
      </c>
      <c r="H23" s="4" t="s">
        <v>230</v>
      </c>
      <c r="I23" s="4" t="s">
        <v>231</v>
      </c>
    </row>
    <row r="24" spans="1:11" x14ac:dyDescent="0.3">
      <c r="A24" s="8" t="s">
        <v>201</v>
      </c>
      <c r="B24" s="8" t="s">
        <v>209</v>
      </c>
      <c r="C24" s="8" t="s">
        <v>214</v>
      </c>
      <c r="D24" s="8" t="s">
        <v>214</v>
      </c>
      <c r="E24" s="8" t="s">
        <v>201</v>
      </c>
      <c r="F24" s="8" t="s">
        <v>209</v>
      </c>
      <c r="G24" s="8" t="s">
        <v>209</v>
      </c>
      <c r="H24" s="8" t="s">
        <v>214</v>
      </c>
      <c r="I24" s="8" t="s">
        <v>201</v>
      </c>
    </row>
    <row r="25" spans="1:11" ht="15.6" x14ac:dyDescent="0.3">
      <c r="A25" s="7" t="s">
        <v>232</v>
      </c>
    </row>
    <row r="27" spans="1:11" ht="28.8" x14ac:dyDescent="0.3">
      <c r="A27" s="4" t="s">
        <v>196</v>
      </c>
      <c r="B27" s="4" t="s">
        <v>197</v>
      </c>
      <c r="C27" s="4" t="s">
        <v>198</v>
      </c>
      <c r="D27" s="4" t="s">
        <v>233</v>
      </c>
      <c r="E27" s="4" t="s">
        <v>234</v>
      </c>
      <c r="F27" s="4" t="s">
        <v>235</v>
      </c>
      <c r="G27" s="4" t="s">
        <v>236</v>
      </c>
      <c r="H27" s="4" t="s">
        <v>237</v>
      </c>
      <c r="I27" s="4" t="s">
        <v>238</v>
      </c>
      <c r="J27" s="4" t="s">
        <v>239</v>
      </c>
      <c r="K27" s="4" t="s">
        <v>46</v>
      </c>
    </row>
    <row r="28" spans="1:11" x14ac:dyDescent="0.3">
      <c r="A28" t="s">
        <v>200</v>
      </c>
      <c r="B28" t="str">
        <f>IF(A28="","",VLOOKUP(A28,'Undian Kubus'!$A$10:$D$18,2,FALSE))</f>
        <v>Merah</v>
      </c>
      <c r="C28" t="str">
        <f>IF(A28="","",VLOOKUP(A28,'Undian Kubus'!$A$10:$D$18,3,FALSE))</f>
        <v>Lingkaran</v>
      </c>
      <c r="D28" t="str">
        <f t="shared" ref="D28:D36" si="0">IF(A28="","",IF(E28="","(belum diisi — isi kolom E &amp; F)",TRIM(E28&amp;IF(F28&lt;&gt;""," — "&amp;F28,""))))</f>
        <v>Rak 1 — kiri</v>
      </c>
      <c r="E28" t="s">
        <v>240</v>
      </c>
      <c r="F28" t="s">
        <v>241</v>
      </c>
      <c r="G28">
        <f t="shared" ref="G28:G36" si="1">IF(OR(A28="",E28="",F28=""),"",IF(OR(AND(OR(E28="Rak 1",E28="R1"),OR(LOWER(F28)="kiri",LOWER(F28)="s1",LOWER(F28)="r1-s1"),$A$24=B28),AND(OR(E28="Rak 1",E28="R1"),OR(LOWER(F28)="tengah",LOWER(F28)="s2",LOWER(F28)="r1-s2"),$B$24=B28),AND(OR(E28="Rak 1",E28="R1"),OR(LOWER(F28)="kanan",LOWER(F28)="s3",LOWER(F28)="r1-s3"),$C$24=B28),AND(OR(E28="Rak 2",E28="R2"),OR(LOWER(F28)="kiri",LOWER(F28)="s1",LOWER(F28)="r2-s1"),$D$24=B28),AND(OR(E28="Rak 2",E28="R2"),OR(LOWER(F28)="tengah",LOWER(F28)="s2",LOWER(F28)="r2-s2"),$E$24=B28),AND(OR(E28="Rak 2",E28="R2"),OR(LOWER(F28)="kanan",LOWER(F28)="s3",LOWER(F28)="r2-s3"),$F$24=B28),AND(OR(E28="Rak 3",E28="R3"),OR(LOWER(F28)="kiri",LOWER(F28)="s1",LOWER(F28)="r3-s1"),$G$24=B28),AND(OR(E28="Rak 3",E28="R3"),OR(LOWER(F28)="tengah",LOWER(F28)="s2",LOWER(F28)="r3-s2"),$H$24=B28),AND(OR(E28="Rak 3",E28="R3"),OR(LOWER(F28)="kanan",LOWER(F28)="s3",LOWER(F28)="r3-s3"),$I$24=B28)),1,0))</f>
        <v>1</v>
      </c>
      <c r="H28" t="str">
        <f t="shared" ref="H28:H36" si="2">IF(B28="","",IF(COUNTA($A$24:$I$24)=0,"(isi warna marker baris 24)",IF(IF(COUNTIF($A$24:$C$24,B28)&gt;0,"Rak 1, ","")&amp;IF(COUNTIF($D$24:$F$24,B28)&gt;0,"Rak 2, ","")&amp;IF(COUNTIF($G$24:$I$24,B28)&gt;0,"Rak 3, ","")="","",IF(LEN(IF(COUNTIF($A$24:$C$24,B28)&gt;0,"Rak 1, ","")&amp;IF(COUNTIF($D$24:$F$24,B28)&gt;0,"Rak 2, ","")&amp;IF(COUNTIF($G$24:$I$24,B28)&gt;0,"Rak 3, ",""))&gt;2,LEFT(IF(COUNTIF($A$24:$C$24,B28)&gt;0,"Rak 1, ","")&amp;IF(COUNTIF($D$24:$F$24,B28)&gt;0,"Rak 2, ","")&amp;IF(COUNTIF($G$24:$I$24,B28)&gt;0,"Rak 3, ",""),LEN(IF(COUNTIF($A$24:$C$24,B28)&gt;0,"Rak 1, ","")&amp;IF(COUNTIF($D$24:$F$24,B28)&gt;0,"Rak 2, ","")&amp;IF(COUNTIF($G$24:$I$24,B28)&gt;0,"Rak 3, ",""))-2),IF(COUNTIF($A$24:$C$24,B28)&gt;0,"Rak 1, ","")&amp;IF(COUNTIF($D$24:$F$24,B28)&gt;0,"Rak 2, ","")&amp;IF(COUNTIF($G$24:$I$24,B28)&gt;0,"Rak 3, ","")))))</f>
        <v>Rak 1, Rak 2, Rak 3</v>
      </c>
      <c r="I28" t="str">
        <f t="shared" ref="I28:I36" si="3">IF(B28="","",IF(COUNTA($A$24:$I$24)=0,"(isi warna marker baris 24)",IF(IF(IF($A$24=B28,"R1-S1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","")="","",IF(LEN(IF($A$24=B28,"R1-S1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",""))&gt;2,LEFT(IF($A$24=B28,"R1-S1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",""),LEN(IF($A$24=B28,"R1-S1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",""))-2),IF($A$24=B28,"R1-S1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","")))="","","Slot marker "&amp;B28&amp;": "&amp;IF(IF($A$24=B28,"R1-S1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","")="","",IF(LEN(IF($A$24=B28,"R1-S1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",""))&gt;2,LEFT(IF($A$24=B28,"R1-S1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",""),LEN(IF($A$24=B28,"R1-S1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",""))-2),IF($A$24=B28,"R1-S1 (Rak1 kiri), ","")&amp;IF($B$24=B28,"R1-S2 (Rak1 tengah), ","")&amp;IF($C$24=B28,"R1-S3 (Rak1 kanan), ","")&amp;IF($D$24=B28,"R2-S1 (Rak2 kiri), ","")&amp;IF($E$24=B28,"R2-S2 (Rak2 tengah), ","")&amp;IF($F$24=B28,"R2-S3 (Rak2 kanan), ","")&amp;IF($G$24=B28,"R3-S1 (Rak3 kiri), ","")&amp;IF($H$24=B28,"R3-S2 (Rak3 tengah), ","")&amp;IF($I$24=B28,"R3-S3 (Rak3 kanan), ",""))))))</f>
        <v>Slot marker Merah: R1-S1 (Rak1 kiri), R2-S2 (Rak2 tengah), R3-S3 (Rak3 kanan)</v>
      </c>
      <c r="J28">
        <f t="shared" ref="J28:J36" si="4">IF(G28="","",IF(G28=1,0,1))</f>
        <v>0</v>
      </c>
    </row>
    <row r="29" spans="1:11" x14ac:dyDescent="0.3">
      <c r="A29" t="s">
        <v>204</v>
      </c>
      <c r="B29" t="str">
        <f>IF(A29="","",VLOOKUP(A29,'Undian Kubus'!$A$10:$D$18,2,FALSE))</f>
        <v>Merah</v>
      </c>
      <c r="C29" t="str">
        <f>IF(A29="","",VLOOKUP(A29,'Undian Kubus'!$A$10:$D$18,3,FALSE))</f>
        <v>Persegi</v>
      </c>
      <c r="D29" t="str">
        <f t="shared" si="0"/>
        <v>Stand A — depan</v>
      </c>
      <c r="E29" t="s">
        <v>242</v>
      </c>
      <c r="F29" t="s">
        <v>243</v>
      </c>
      <c r="G29">
        <f t="shared" si="1"/>
        <v>0</v>
      </c>
      <c r="H29" t="str">
        <f t="shared" si="2"/>
        <v>Rak 1, Rak 2, Rak 3</v>
      </c>
      <c r="I29" t="str">
        <f t="shared" si="3"/>
        <v>Slot marker Merah: R1-S1 (Rak1 kiri), R2-S2 (Rak2 tengah), R3-S3 (Rak3 kanan)</v>
      </c>
      <c r="J29">
        <f t="shared" si="4"/>
        <v>1</v>
      </c>
    </row>
    <row r="30" spans="1:11" x14ac:dyDescent="0.3">
      <c r="A30" t="s">
        <v>206</v>
      </c>
      <c r="B30" t="str">
        <f>IF(A30="","",VLOOKUP(A30,'Undian Kubus'!$A$10:$D$18,2,FALSE))</f>
        <v>Merah</v>
      </c>
      <c r="C30" t="str">
        <f>IF(A30="","",VLOOKUP(A30,'Undian Kubus'!$A$10:$D$18,3,FALSE))</f>
        <v>Segitiga</v>
      </c>
      <c r="D30" t="str">
        <f t="shared" si="0"/>
        <v>Rak 2 — tengah</v>
      </c>
      <c r="E30" t="s">
        <v>244</v>
      </c>
      <c r="F30" t="s">
        <v>245</v>
      </c>
      <c r="G30">
        <f t="shared" si="1"/>
        <v>1</v>
      </c>
      <c r="H30" t="str">
        <f t="shared" si="2"/>
        <v>Rak 1, Rak 2, Rak 3</v>
      </c>
      <c r="I30" t="str">
        <f t="shared" si="3"/>
        <v>Slot marker Merah: R1-S1 (Rak1 kiri), R2-S2 (Rak2 tengah), R3-S3 (Rak3 kanan)</v>
      </c>
      <c r="J30">
        <f t="shared" si="4"/>
        <v>0</v>
      </c>
    </row>
    <row r="31" spans="1:11" x14ac:dyDescent="0.3">
      <c r="A31" t="s">
        <v>208</v>
      </c>
      <c r="B31" t="str">
        <f>IF(A31="","",VLOOKUP(A31,'Undian Kubus'!$A$10:$D$18,2,FALSE))</f>
        <v>Hijau</v>
      </c>
      <c r="C31" t="str">
        <f>IF(A31="","",VLOOKUP(A31,'Undian Kubus'!$A$10:$D$18,3,FALSE))</f>
        <v>Lingkaran</v>
      </c>
      <c r="D31" t="str">
        <f t="shared" si="0"/>
        <v>Rak 3 — kiri</v>
      </c>
      <c r="E31" t="s">
        <v>246</v>
      </c>
      <c r="F31" t="s">
        <v>241</v>
      </c>
      <c r="G31">
        <f t="shared" si="1"/>
        <v>1</v>
      </c>
      <c r="H31" t="str">
        <f t="shared" si="2"/>
        <v>Rak 1, Rak 2, Rak 3</v>
      </c>
      <c r="I31" t="str">
        <f t="shared" si="3"/>
        <v>Slot marker Hijau: R1-S2 (Rak1 tengah), R2-S3 (Rak2 kanan), R3-S1 (Rak3 kiri)</v>
      </c>
      <c r="J31">
        <f t="shared" si="4"/>
        <v>0</v>
      </c>
    </row>
    <row r="32" spans="1:11" x14ac:dyDescent="0.3">
      <c r="A32" t="s">
        <v>211</v>
      </c>
      <c r="B32" t="str">
        <f>IF(A32="","",VLOOKUP(A32,'Undian Kubus'!$A$10:$D$18,2,FALSE))</f>
        <v>Hijau</v>
      </c>
      <c r="C32" t="str">
        <f>IF(A32="","",VLOOKUP(A32,'Undian Kubus'!$A$10:$D$18,3,FALSE))</f>
        <v>Persegi</v>
      </c>
      <c r="D32" t="str">
        <f t="shared" si="0"/>
        <v>Stand B — depan</v>
      </c>
      <c r="E32" t="s">
        <v>247</v>
      </c>
      <c r="F32" t="s">
        <v>243</v>
      </c>
      <c r="G32">
        <f t="shared" si="1"/>
        <v>0</v>
      </c>
      <c r="H32" t="str">
        <f t="shared" si="2"/>
        <v>Rak 1, Rak 2, Rak 3</v>
      </c>
      <c r="I32" t="str">
        <f t="shared" si="3"/>
        <v>Slot marker Hijau: R1-S2 (Rak1 tengah), R2-S3 (Rak2 kanan), R3-S1 (Rak3 kiri)</v>
      </c>
      <c r="J32">
        <f t="shared" si="4"/>
        <v>1</v>
      </c>
    </row>
    <row r="33" spans="1:10" x14ac:dyDescent="0.3">
      <c r="A33" t="s">
        <v>212</v>
      </c>
      <c r="B33" t="str">
        <f>IF(A33="","",VLOOKUP(A33,'Undian Kubus'!$A$10:$D$18,2,FALSE))</f>
        <v>Hijau</v>
      </c>
      <c r="C33" t="str">
        <f>IF(A33="","",VLOOKUP(A33,'Undian Kubus'!$A$10:$D$18,3,FALSE))</f>
        <v>Segitiga</v>
      </c>
      <c r="D33" t="str">
        <f t="shared" si="0"/>
        <v>Rak 1 — kanan</v>
      </c>
      <c r="E33" t="s">
        <v>240</v>
      </c>
      <c r="F33" t="s">
        <v>248</v>
      </c>
      <c r="G33">
        <f t="shared" si="1"/>
        <v>0</v>
      </c>
      <c r="H33" t="str">
        <f t="shared" si="2"/>
        <v>Rak 1, Rak 2, Rak 3</v>
      </c>
      <c r="I33" t="str">
        <f t="shared" si="3"/>
        <v>Slot marker Hijau: R1-S2 (Rak1 tengah), R2-S3 (Rak2 kanan), R3-S1 (Rak3 kiri)</v>
      </c>
      <c r="J33">
        <f t="shared" si="4"/>
        <v>1</v>
      </c>
    </row>
    <row r="34" spans="1:10" x14ac:dyDescent="0.3">
      <c r="A34" t="s">
        <v>213</v>
      </c>
      <c r="B34" t="str">
        <f>IF(A34="","",VLOOKUP(A34,'Undian Kubus'!$A$10:$D$18,2,FALSE))</f>
        <v>Biru</v>
      </c>
      <c r="C34" t="str">
        <f>IF(A34="","",VLOOKUP(A34,'Undian Kubus'!$A$10:$D$18,3,FALSE))</f>
        <v>Lingkaran</v>
      </c>
      <c r="D34" t="str">
        <f t="shared" si="0"/>
        <v>Rak 2 — kiri</v>
      </c>
      <c r="E34" t="s">
        <v>244</v>
      </c>
      <c r="F34" t="s">
        <v>241</v>
      </c>
      <c r="G34">
        <f t="shared" si="1"/>
        <v>1</v>
      </c>
      <c r="H34" t="str">
        <f t="shared" si="2"/>
        <v>Rak 1, Rak 2, Rak 3</v>
      </c>
      <c r="I34" t="str">
        <f t="shared" si="3"/>
        <v>Slot marker Biru: R1-S3 (Rak1 kanan), R2-S1 (Rak2 kiri), R3-S2 (Rak3 tengah)</v>
      </c>
      <c r="J34">
        <f t="shared" si="4"/>
        <v>0</v>
      </c>
    </row>
    <row r="35" spans="1:10" x14ac:dyDescent="0.3">
      <c r="A35" t="s">
        <v>216</v>
      </c>
      <c r="B35" t="str">
        <f>IF(A35="","",VLOOKUP(A35,'Undian Kubus'!$A$10:$D$18,2,FALSE))</f>
        <v>Biru</v>
      </c>
      <c r="C35" t="str">
        <f>IF(A35="","",VLOOKUP(A35,'Undian Kubus'!$A$10:$D$18,3,FALSE))</f>
        <v>Persegi</v>
      </c>
      <c r="D35" t="str">
        <f t="shared" si="0"/>
        <v>Rak 3 — tengah</v>
      </c>
      <c r="E35" t="s">
        <v>246</v>
      </c>
      <c r="F35" t="s">
        <v>245</v>
      </c>
      <c r="G35">
        <f t="shared" si="1"/>
        <v>1</v>
      </c>
      <c r="H35" t="str">
        <f t="shared" si="2"/>
        <v>Rak 1, Rak 2, Rak 3</v>
      </c>
      <c r="I35" t="str">
        <f t="shared" si="3"/>
        <v>Slot marker Biru: R1-S3 (Rak1 kanan), R2-S1 (Rak2 kiri), R3-S2 (Rak3 tengah)</v>
      </c>
      <c r="J35">
        <f t="shared" si="4"/>
        <v>0</v>
      </c>
    </row>
    <row r="36" spans="1:10" x14ac:dyDescent="0.3">
      <c r="A36" t="s">
        <v>217</v>
      </c>
      <c r="B36" t="str">
        <f>IF(A36="","",VLOOKUP(A36,'Undian Kubus'!$A$10:$D$18,2,FALSE))</f>
        <v>Biru</v>
      </c>
      <c r="C36" t="str">
        <f>IF(A36="","",VLOOKUP(A36,'Undian Kubus'!$A$10:$D$18,3,FALSE))</f>
        <v>Segitiga</v>
      </c>
      <c r="D36" t="str">
        <f t="shared" si="0"/>
        <v>Stand C — depan</v>
      </c>
      <c r="E36" t="s">
        <v>249</v>
      </c>
      <c r="F36" t="s">
        <v>243</v>
      </c>
      <c r="G36">
        <f t="shared" si="1"/>
        <v>0</v>
      </c>
      <c r="H36" t="str">
        <f t="shared" si="2"/>
        <v>Rak 1, Rak 2, Rak 3</v>
      </c>
      <c r="I36" t="str">
        <f t="shared" si="3"/>
        <v>Slot marker Biru: R1-S3 (Rak1 kanan), R2-S1 (Rak2 kiri), R3-S2 (Rak3 tengah)</v>
      </c>
      <c r="J36">
        <f t="shared" si="4"/>
        <v>1</v>
      </c>
    </row>
    <row r="38" spans="1:10" ht="36" customHeight="1" x14ac:dyDescent="0.3">
      <c r="A38" s="18" t="s">
        <v>250</v>
      </c>
      <c r="B38" s="14"/>
      <c r="C38" s="14"/>
      <c r="D38" s="14"/>
      <c r="E38" s="14"/>
      <c r="F38" s="14"/>
      <c r="G38" s="14"/>
      <c r="H38" s="14"/>
      <c r="I38" s="14"/>
      <c r="J38" s="14"/>
    </row>
    <row r="39" spans="1:10" x14ac:dyDescent="0.3">
      <c r="A39" s="17" t="s">
        <v>251</v>
      </c>
      <c r="B39" s="14"/>
      <c r="C39" s="14"/>
      <c r="D39" s="14"/>
      <c r="E39" s="14"/>
      <c r="F39" s="14"/>
      <c r="G39" s="14"/>
      <c r="H39" s="14"/>
      <c r="I39" s="14"/>
      <c r="J39" s="14"/>
    </row>
    <row r="40" spans="1:10" x14ac:dyDescent="0.3">
      <c r="A40" s="4" t="s">
        <v>252</v>
      </c>
      <c r="B40" s="4" t="s">
        <v>253</v>
      </c>
      <c r="C40" s="4" t="s">
        <v>254</v>
      </c>
      <c r="D40" s="4" t="s">
        <v>255</v>
      </c>
      <c r="E40" s="4" t="s">
        <v>256</v>
      </c>
      <c r="F40" s="4" t="s">
        <v>257</v>
      </c>
      <c r="G40" s="4" t="s">
        <v>258</v>
      </c>
      <c r="H40" s="4" t="s">
        <v>259</v>
      </c>
      <c r="I40" s="4" t="s">
        <v>260</v>
      </c>
      <c r="J40" s="4" t="s">
        <v>261</v>
      </c>
    </row>
    <row r="41" spans="1:10" x14ac:dyDescent="0.3">
      <c r="A41" t="s">
        <v>262</v>
      </c>
      <c r="B41" t="s">
        <v>263</v>
      </c>
      <c r="C41" t="s">
        <v>264</v>
      </c>
      <c r="D41" t="s">
        <v>265</v>
      </c>
      <c r="E41" t="s">
        <v>266</v>
      </c>
      <c r="F41" t="s">
        <v>267</v>
      </c>
    </row>
    <row r="43" spans="1:10" x14ac:dyDescent="0.3">
      <c r="A43" t="s">
        <v>268</v>
      </c>
      <c r="D43" t="s">
        <v>269</v>
      </c>
      <c r="G43" t="s">
        <v>270</v>
      </c>
    </row>
  </sheetData>
  <mergeCells count="9">
    <mergeCell ref="A2:J2"/>
    <mergeCell ref="A1:K1"/>
    <mergeCell ref="A20:I20"/>
    <mergeCell ref="A21:I21"/>
    <mergeCell ref="G22:I22"/>
    <mergeCell ref="D22:F22"/>
    <mergeCell ref="A22:C22"/>
    <mergeCell ref="A39:J39"/>
    <mergeCell ref="A38:J38"/>
  </mergeCells>
  <dataValidations count="2">
    <dataValidation type="list" allowBlank="1" sqref="E28 E29 E30 E31 E32 E33 E34 E35 E36" xr:uid="{00000000-0002-0000-0500-000000000000}">
      <formula1>"Rak 1,Rak 2,Rak 3,Stand A,Stand B,Stand C,Lantai"</formula1>
    </dataValidation>
    <dataValidation type="list" allowBlank="1" sqref="F28 F29 F30 F31 F32 F33 F34 F35 F36" xr:uid="{00000000-0002-0000-0500-000001000000}">
      <formula1>"kiri,tengah,kanan"</formula1>
    </dataValidation>
  </dataValidations>
  <hyperlinks>
    <hyperlink ref="A2" r:id="rId1" location="10-sop-pengacakan-kubus" xr:uid="{00000000-0004-0000-0500-000000000000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2"/>
  <sheetViews>
    <sheetView workbookViewId="0"/>
  </sheetViews>
  <sheetFormatPr defaultRowHeight="14.4" x14ac:dyDescent="0.3"/>
  <cols>
    <col min="1" max="1" width="5" customWidth="1"/>
    <col min="2" max="4" width="10" customWidth="1"/>
    <col min="5" max="5" width="14" customWidth="1"/>
    <col min="6" max="6" width="12" customWidth="1"/>
    <col min="7" max="7" width="14" customWidth="1"/>
    <col min="8" max="8" width="12" customWidth="1"/>
    <col min="9" max="10" width="8" customWidth="1"/>
    <col min="11" max="11" width="20" customWidth="1"/>
  </cols>
  <sheetData>
    <row r="1" spans="1:11" ht="18" x14ac:dyDescent="0.35">
      <c r="A1" s="13" t="s">
        <v>271</v>
      </c>
      <c r="B1" s="14"/>
      <c r="C1" s="14"/>
      <c r="D1" s="14"/>
      <c r="E1" s="14"/>
      <c r="F1" s="14"/>
      <c r="G1" s="14"/>
      <c r="H1" s="14"/>
      <c r="I1" s="14"/>
      <c r="J1" s="14"/>
    </row>
    <row r="2" spans="1:11" ht="18" customHeight="1" x14ac:dyDescent="0.3">
      <c r="A2" s="15" t="s">
        <v>272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1" x14ac:dyDescent="0.3">
      <c r="A3" t="s">
        <v>30</v>
      </c>
      <c r="B3" t="s">
        <v>183</v>
      </c>
      <c r="C3" t="s">
        <v>181</v>
      </c>
      <c r="D3" t="s">
        <v>186</v>
      </c>
      <c r="E3" t="s">
        <v>185</v>
      </c>
      <c r="G3" t="s">
        <v>273</v>
      </c>
      <c r="H3" t="s">
        <v>191</v>
      </c>
    </row>
    <row r="4" spans="1:11" x14ac:dyDescent="0.3">
      <c r="A4" t="s">
        <v>188</v>
      </c>
      <c r="B4" t="s">
        <v>189</v>
      </c>
      <c r="C4" t="s">
        <v>274</v>
      </c>
      <c r="D4" s="9" t="s">
        <v>275</v>
      </c>
    </row>
    <row r="5" spans="1:11" x14ac:dyDescent="0.3">
      <c r="A5" s="21" t="s">
        <v>276</v>
      </c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11" ht="28.8" x14ac:dyDescent="0.3">
      <c r="A6" s="4" t="s">
        <v>277</v>
      </c>
      <c r="B6" s="4" t="s">
        <v>196</v>
      </c>
      <c r="C6" s="4" t="s">
        <v>197</v>
      </c>
      <c r="D6" s="4" t="s">
        <v>198</v>
      </c>
      <c r="E6" s="4" t="s">
        <v>278</v>
      </c>
      <c r="F6" s="4" t="s">
        <v>279</v>
      </c>
      <c r="G6" s="4" t="s">
        <v>280</v>
      </c>
      <c r="H6" s="4" t="s">
        <v>281</v>
      </c>
      <c r="I6" s="4" t="s">
        <v>142</v>
      </c>
      <c r="J6" s="4" t="s">
        <v>144</v>
      </c>
      <c r="K6" s="4" t="s">
        <v>46</v>
      </c>
    </row>
    <row r="7" spans="1:11" x14ac:dyDescent="0.3">
      <c r="A7">
        <v>1</v>
      </c>
      <c r="B7" t="str">
        <f>IF('Undian Kubus'!A28="","",'Undian Kubus'!A28)</f>
        <v>K-M1</v>
      </c>
      <c r="C7" t="str">
        <f>IF(B7="","",VLOOKUP(B7,'Undian Kubus'!$A$10:$D$18,2,FALSE))</f>
        <v>Merah</v>
      </c>
      <c r="D7" t="str">
        <f>IF(B7="","",VLOOKUP(B7,'Undian Kubus'!$A$10:$D$18,3,FALSE))</f>
        <v>Lingkaran</v>
      </c>
      <c r="E7" t="str">
        <f>IF(B7="","",IF(IFERROR(VLOOKUP(B7,'Undian Kubus'!$A$28:$I$36,5,FALSE),"")="","→ isi Rak/Stand &amp; Slot (sheet Undian Kubus)",IFERROR(VLOOKUP(B7,'Undian Kubus'!$A$28:$I$36,4,FALSE),"")))</f>
        <v>Rak 1 — kiri</v>
      </c>
      <c r="F7" t="str">
        <f>IF(B7="","",IF(C7="","",IF(COUNTA('Undian Kubus'!$A$24:$I$24)=0,"→ isi warna marker baris 24 (Undian)",IF(IF('Undian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","")="","",IF(LEN(IF('Undian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",""))&gt;2,LEFT(IF('Undian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",""),LEN(IF('Undian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",""))-2),IF('Undian Kubus'!$A$24=C7,"R1-S1 (Rak1 kiri), ","")&amp;IF('Undian Kubus'!$B$24=C7,"R1-S2 (Rak1 tengah), ","")&amp;IF('Undian Kubus'!$C$24=C7,"R1-S3 (Rak1 kanan), ","")&amp;IF('Undian Kubus'!$D$24=C7,"R2-S1 (Rak2 kiri), ","")&amp;IF('Undian Kubus'!$E$24=C7,"R2-S2 (Rak2 tengah), ","")&amp;IF('Undian Kubus'!$F$24=C7,"R2-S3 (Rak2 kanan), ","")&amp;IF('Undian Kubus'!$G$24=C7,"R3-S1 (Rak3 kiri), ","")&amp;IF('Undian Kubus'!$H$24=C7,"R3-S2 (Rak3 tengah), ","")&amp;IF('Undian Kubus'!$I$24=C7,"R3-S3 (Rak3 kanan), ",""))))))</f>
        <v>R1-S1 (Rak1 kiri), R2-S2 (Rak2 tengah), R3-S3 (Rak3 kanan)</v>
      </c>
      <c r="G7">
        <f>IF(B7="","",IFERROR(VLOOKUP(B7,'Undian Kubus'!$A$28:$I$36,7,FALSE),""))</f>
        <v>1</v>
      </c>
      <c r="H7">
        <v>1</v>
      </c>
      <c r="I7">
        <f t="shared" ref="I7:I15" si="0">60/9</f>
        <v>6.666666666666667</v>
      </c>
      <c r="J7">
        <f t="shared" ref="J7:J15" si="1">IF(H7="",0,H7*I7)</f>
        <v>6.666666666666667</v>
      </c>
    </row>
    <row r="8" spans="1:11" x14ac:dyDescent="0.3">
      <c r="A8">
        <v>2</v>
      </c>
      <c r="B8" t="str">
        <f>IF('Undian Kubus'!A29="","",'Undian Kubus'!A29)</f>
        <v>K-M2</v>
      </c>
      <c r="C8" t="str">
        <f>IF(B8="","",VLOOKUP(B8,'Undian Kubus'!$A$10:$D$18,2,FALSE))</f>
        <v>Merah</v>
      </c>
      <c r="D8" t="str">
        <f>IF(B8="","",VLOOKUP(B8,'Undian Kubus'!$A$10:$D$18,3,FALSE))</f>
        <v>Persegi</v>
      </c>
      <c r="E8" t="str">
        <f>IF(B8="","",IF(IFERROR(VLOOKUP(B8,'Undian Kubus'!$A$28:$I$36,5,FALSE),"")="","→ isi Rak/Stand &amp; Slot (sheet Undian Kubus)",IFERROR(VLOOKUP(B8,'Undian Kubus'!$A$28:$I$36,4,FALSE),"")))</f>
        <v>Stand A — depan</v>
      </c>
      <c r="F8" t="str">
        <f>IF(B8="","",IF(C8="","",IF(COUNTA('Undian Kubus'!$A$24:$I$24)=0,"→ isi warna marker baris 24 (Undian)",IF(IF('Undian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","")="","",IF(LEN(IF('Undian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",""))&gt;2,LEFT(IF('Undian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",""),LEN(IF('Undian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",""))-2),IF('Undian Kubus'!$A$24=C8,"R1-S1 (Rak1 kiri), ","")&amp;IF('Undian Kubus'!$B$24=C8,"R1-S2 (Rak1 tengah), ","")&amp;IF('Undian Kubus'!$C$24=C8,"R1-S3 (Rak1 kanan), ","")&amp;IF('Undian Kubus'!$D$24=C8,"R2-S1 (Rak2 kiri), ","")&amp;IF('Undian Kubus'!$E$24=C8,"R2-S2 (Rak2 tengah), ","")&amp;IF('Undian Kubus'!$F$24=C8,"R2-S3 (Rak2 kanan), ","")&amp;IF('Undian Kubus'!$G$24=C8,"R3-S1 (Rak3 kiri), ","")&amp;IF('Undian Kubus'!$H$24=C8,"R3-S2 (Rak3 tengah), ","")&amp;IF('Undian Kubus'!$I$24=C8,"R3-S3 (Rak3 kanan), ",""))))))</f>
        <v>R1-S1 (Rak1 kiri), R2-S2 (Rak2 tengah), R3-S3 (Rak3 kanan)</v>
      </c>
      <c r="G8">
        <f>IF(B8="","",IFERROR(VLOOKUP(B8,'Undian Kubus'!$A$28:$I$36,7,FALSE),""))</f>
        <v>0</v>
      </c>
      <c r="H8">
        <v>1</v>
      </c>
      <c r="I8">
        <f t="shared" si="0"/>
        <v>6.666666666666667</v>
      </c>
      <c r="J8">
        <f t="shared" si="1"/>
        <v>6.666666666666667</v>
      </c>
    </row>
    <row r="9" spans="1:11" x14ac:dyDescent="0.3">
      <c r="A9">
        <v>3</v>
      </c>
      <c r="B9" t="str">
        <f>IF('Undian Kubus'!A30="","",'Undian Kubus'!A30)</f>
        <v>K-M3</v>
      </c>
      <c r="C9" t="str">
        <f>IF(B9="","",VLOOKUP(B9,'Undian Kubus'!$A$10:$D$18,2,FALSE))</f>
        <v>Merah</v>
      </c>
      <c r="D9" t="str">
        <f>IF(B9="","",VLOOKUP(B9,'Undian Kubus'!$A$10:$D$18,3,FALSE))</f>
        <v>Segitiga</v>
      </c>
      <c r="E9" t="str">
        <f>IF(B9="","",IF(IFERROR(VLOOKUP(B9,'Undian Kubus'!$A$28:$I$36,5,FALSE),"")="","→ isi Rak/Stand &amp; Slot (sheet Undian Kubus)",IFERROR(VLOOKUP(B9,'Undian Kubus'!$A$28:$I$36,4,FALSE),"")))</f>
        <v>Rak 2 — tengah</v>
      </c>
      <c r="F9" t="str">
        <f>IF(B9="","",IF(C9="","",IF(COUNTA('Undian Kubus'!$A$24:$I$24)=0,"→ isi warna marker baris 24 (Undian)",IF(IF('Undian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","")="","",IF(LEN(IF('Undian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",""))&gt;2,LEFT(IF('Undian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",""),LEN(IF('Undian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",""))-2),IF('Undian Kubus'!$A$24=C9,"R1-S1 (Rak1 kiri), ","")&amp;IF('Undian Kubus'!$B$24=C9,"R1-S2 (Rak1 tengah), ","")&amp;IF('Undian Kubus'!$C$24=C9,"R1-S3 (Rak1 kanan), ","")&amp;IF('Undian Kubus'!$D$24=C9,"R2-S1 (Rak2 kiri), ","")&amp;IF('Undian Kubus'!$E$24=C9,"R2-S2 (Rak2 tengah), ","")&amp;IF('Undian Kubus'!$F$24=C9,"R2-S3 (Rak2 kanan), ","")&amp;IF('Undian Kubus'!$G$24=C9,"R3-S1 (Rak3 kiri), ","")&amp;IF('Undian Kubus'!$H$24=C9,"R3-S2 (Rak3 tengah), ","")&amp;IF('Undian Kubus'!$I$24=C9,"R3-S3 (Rak3 kanan), ",""))))))</f>
        <v>R1-S1 (Rak1 kiri), R2-S2 (Rak2 tengah), R3-S3 (Rak3 kanan)</v>
      </c>
      <c r="G9">
        <f>IF(B9="","",IFERROR(VLOOKUP(B9,'Undian Kubus'!$A$28:$I$36,7,FALSE),""))</f>
        <v>1</v>
      </c>
      <c r="H9">
        <v>1</v>
      </c>
      <c r="I9">
        <f t="shared" si="0"/>
        <v>6.666666666666667</v>
      </c>
      <c r="J9">
        <f t="shared" si="1"/>
        <v>6.666666666666667</v>
      </c>
    </row>
    <row r="10" spans="1:11" x14ac:dyDescent="0.3">
      <c r="A10">
        <v>4</v>
      </c>
      <c r="B10" t="str">
        <f>IF('Undian Kubus'!A31="","",'Undian Kubus'!A31)</f>
        <v>K-H1</v>
      </c>
      <c r="C10" t="str">
        <f>IF(B10="","",VLOOKUP(B10,'Undian Kubus'!$A$10:$D$18,2,FALSE))</f>
        <v>Hijau</v>
      </c>
      <c r="D10" t="str">
        <f>IF(B10="","",VLOOKUP(B10,'Undian Kubus'!$A$10:$D$18,3,FALSE))</f>
        <v>Lingkaran</v>
      </c>
      <c r="E10" t="str">
        <f>IF(B10="","",IF(IFERROR(VLOOKUP(B10,'Undian Kubus'!$A$28:$I$36,5,FALSE),"")="","→ isi Rak/Stand &amp; Slot (sheet Undian Kubus)",IFERROR(VLOOKUP(B10,'Undian Kubus'!$A$28:$I$36,4,FALSE),"")))</f>
        <v>Rak 3 — kiri</v>
      </c>
      <c r="F10" t="str">
        <f>IF(B10="","",IF(C10="","",IF(COUNTA('Undian Kubus'!$A$24:$I$24)=0,"→ isi warna marker baris 24 (Undian)",IF(IF('Undian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","")="","",IF(LEN(IF('Undian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",""))&gt;2,LEFT(IF('Undian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",""),LEN(IF('Undian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",""))-2),IF('Undian Kubus'!$A$24=C10,"R1-S1 (Rak1 kiri), ","")&amp;IF('Undian Kubus'!$B$24=C10,"R1-S2 (Rak1 tengah), ","")&amp;IF('Undian Kubus'!$C$24=C10,"R1-S3 (Rak1 kanan), ","")&amp;IF('Undian Kubus'!$D$24=C10,"R2-S1 (Rak2 kiri), ","")&amp;IF('Undian Kubus'!$E$24=C10,"R2-S2 (Rak2 tengah), ","")&amp;IF('Undian Kubus'!$F$24=C10,"R2-S3 (Rak2 kanan), ","")&amp;IF('Undian Kubus'!$G$24=C10,"R3-S1 (Rak3 kiri), ","")&amp;IF('Undian Kubus'!$H$24=C10,"R3-S2 (Rak3 tengah), ","")&amp;IF('Undian Kubus'!$I$24=C10,"R3-S3 (Rak3 kanan), ",""))))))</f>
        <v>R1-S2 (Rak1 tengah), R2-S3 (Rak2 kanan), R3-S1 (Rak3 kiri)</v>
      </c>
      <c r="G10">
        <f>IF(B10="","",IFERROR(VLOOKUP(B10,'Undian Kubus'!$A$28:$I$36,7,FALSE),""))</f>
        <v>1</v>
      </c>
      <c r="H10">
        <v>1</v>
      </c>
      <c r="I10">
        <f t="shared" si="0"/>
        <v>6.666666666666667</v>
      </c>
      <c r="J10">
        <f t="shared" si="1"/>
        <v>6.666666666666667</v>
      </c>
    </row>
    <row r="11" spans="1:11" x14ac:dyDescent="0.3">
      <c r="A11">
        <v>5</v>
      </c>
      <c r="B11" t="str">
        <f>IF('Undian Kubus'!A32="","",'Undian Kubus'!A32)</f>
        <v>K-H2</v>
      </c>
      <c r="C11" t="str">
        <f>IF(B11="","",VLOOKUP(B11,'Undian Kubus'!$A$10:$D$18,2,FALSE))</f>
        <v>Hijau</v>
      </c>
      <c r="D11" t="str">
        <f>IF(B11="","",VLOOKUP(B11,'Undian Kubus'!$A$10:$D$18,3,FALSE))</f>
        <v>Persegi</v>
      </c>
      <c r="E11" t="str">
        <f>IF(B11="","",IF(IFERROR(VLOOKUP(B11,'Undian Kubus'!$A$28:$I$36,5,FALSE),"")="","→ isi Rak/Stand &amp; Slot (sheet Undian Kubus)",IFERROR(VLOOKUP(B11,'Undian Kubus'!$A$28:$I$36,4,FALSE),"")))</f>
        <v>Stand B — depan</v>
      </c>
      <c r="F11" t="str">
        <f>IF(B11="","",IF(C11="","",IF(COUNTA('Undian Kubus'!$A$24:$I$24)=0,"→ isi warna marker baris 24 (Undian)",IF(IF('Undian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","")="","",IF(LEN(IF('Undian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",""))&gt;2,LEFT(IF('Undian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",""),LEN(IF('Undian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",""))-2),IF('Undian Kubus'!$A$24=C11,"R1-S1 (Rak1 kiri), ","")&amp;IF('Undian Kubus'!$B$24=C11,"R1-S2 (Rak1 tengah), ","")&amp;IF('Undian Kubus'!$C$24=C11,"R1-S3 (Rak1 kanan), ","")&amp;IF('Undian Kubus'!$D$24=C11,"R2-S1 (Rak2 kiri), ","")&amp;IF('Undian Kubus'!$E$24=C11,"R2-S2 (Rak2 tengah), ","")&amp;IF('Undian Kubus'!$F$24=C11,"R2-S3 (Rak2 kanan), ","")&amp;IF('Undian Kubus'!$G$24=C11,"R3-S1 (Rak3 kiri), ","")&amp;IF('Undian Kubus'!$H$24=C11,"R3-S2 (Rak3 tengah), ","")&amp;IF('Undian Kubus'!$I$24=C11,"R3-S3 (Rak3 kanan), ",""))))))</f>
        <v>R1-S2 (Rak1 tengah), R2-S3 (Rak2 kanan), R3-S1 (Rak3 kiri)</v>
      </c>
      <c r="G11">
        <f>IF(B11="","",IFERROR(VLOOKUP(B11,'Undian Kubus'!$A$28:$I$36,7,FALSE),""))</f>
        <v>0</v>
      </c>
      <c r="H11">
        <v>0</v>
      </c>
      <c r="I11">
        <f t="shared" si="0"/>
        <v>6.666666666666667</v>
      </c>
      <c r="J11">
        <f t="shared" si="1"/>
        <v>0</v>
      </c>
    </row>
    <row r="12" spans="1:11" x14ac:dyDescent="0.3">
      <c r="A12">
        <v>6</v>
      </c>
      <c r="B12" t="str">
        <f>IF('Undian Kubus'!A33="","",'Undian Kubus'!A33)</f>
        <v>K-H3</v>
      </c>
      <c r="C12" t="str">
        <f>IF(B12="","",VLOOKUP(B12,'Undian Kubus'!$A$10:$D$18,2,FALSE))</f>
        <v>Hijau</v>
      </c>
      <c r="D12" t="str">
        <f>IF(B12="","",VLOOKUP(B12,'Undian Kubus'!$A$10:$D$18,3,FALSE))</f>
        <v>Segitiga</v>
      </c>
      <c r="E12" t="str">
        <f>IF(B12="","",IF(IFERROR(VLOOKUP(B12,'Undian Kubus'!$A$28:$I$36,5,FALSE),"")="","→ isi Rak/Stand &amp; Slot (sheet Undian Kubus)",IFERROR(VLOOKUP(B12,'Undian Kubus'!$A$28:$I$36,4,FALSE),"")))</f>
        <v>Rak 1 — kanan</v>
      </c>
      <c r="F12" t="str">
        <f>IF(B12="","",IF(C12="","",IF(COUNTA('Undian Kubus'!$A$24:$I$24)=0,"→ isi warna marker baris 24 (Undian)",IF(IF('Undian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","")="","",IF(LEN(IF('Undian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",""))&gt;2,LEFT(IF('Undian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",""),LEN(IF('Undian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",""))-2),IF('Undian Kubus'!$A$24=C12,"R1-S1 (Rak1 kiri), ","")&amp;IF('Undian Kubus'!$B$24=C12,"R1-S2 (Rak1 tengah), ","")&amp;IF('Undian Kubus'!$C$24=C12,"R1-S3 (Rak1 kanan), ","")&amp;IF('Undian Kubus'!$D$24=C12,"R2-S1 (Rak2 kiri), ","")&amp;IF('Undian Kubus'!$E$24=C12,"R2-S2 (Rak2 tengah), ","")&amp;IF('Undian Kubus'!$F$24=C12,"R2-S3 (Rak2 kanan), ","")&amp;IF('Undian Kubus'!$G$24=C12,"R3-S1 (Rak3 kiri), ","")&amp;IF('Undian Kubus'!$H$24=C12,"R3-S2 (Rak3 tengah), ","")&amp;IF('Undian Kubus'!$I$24=C12,"R3-S3 (Rak3 kanan), ",""))))))</f>
        <v>R1-S2 (Rak1 tengah), R2-S3 (Rak2 kanan), R3-S1 (Rak3 kiri)</v>
      </c>
      <c r="G12">
        <f>IF(B12="","",IFERROR(VLOOKUP(B12,'Undian Kubus'!$A$28:$I$36,7,FALSE),""))</f>
        <v>0</v>
      </c>
      <c r="H12">
        <v>1</v>
      </c>
      <c r="I12">
        <f t="shared" si="0"/>
        <v>6.666666666666667</v>
      </c>
      <c r="J12">
        <f t="shared" si="1"/>
        <v>6.666666666666667</v>
      </c>
    </row>
    <row r="13" spans="1:11" x14ac:dyDescent="0.3">
      <c r="A13">
        <v>7</v>
      </c>
      <c r="B13" t="str">
        <f>IF('Undian Kubus'!A34="","",'Undian Kubus'!A34)</f>
        <v>K-B1</v>
      </c>
      <c r="C13" t="str">
        <f>IF(B13="","",VLOOKUP(B13,'Undian Kubus'!$A$10:$D$18,2,FALSE))</f>
        <v>Biru</v>
      </c>
      <c r="D13" t="str">
        <f>IF(B13="","",VLOOKUP(B13,'Undian Kubus'!$A$10:$D$18,3,FALSE))</f>
        <v>Lingkaran</v>
      </c>
      <c r="E13" t="str">
        <f>IF(B13="","",IF(IFERROR(VLOOKUP(B13,'Undian Kubus'!$A$28:$I$36,5,FALSE),"")="","→ isi Rak/Stand &amp; Slot (sheet Undian Kubus)",IFERROR(VLOOKUP(B13,'Undian Kubus'!$A$28:$I$36,4,FALSE),"")))</f>
        <v>Rak 2 — kiri</v>
      </c>
      <c r="F13" t="str">
        <f>IF(B13="","",IF(C13="","",IF(COUNTA('Undian Kubus'!$A$24:$I$24)=0,"→ isi warna marker baris 24 (Undian)",IF(IF('Undian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","")="","",IF(LEN(IF('Undian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",""))&gt;2,LEFT(IF('Undian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",""),LEN(IF('Undian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",""))-2),IF('Undian Kubus'!$A$24=C13,"R1-S1 (Rak1 kiri), ","")&amp;IF('Undian Kubus'!$B$24=C13,"R1-S2 (Rak1 tengah), ","")&amp;IF('Undian Kubus'!$C$24=C13,"R1-S3 (Rak1 kanan), ","")&amp;IF('Undian Kubus'!$D$24=C13,"R2-S1 (Rak2 kiri), ","")&amp;IF('Undian Kubus'!$E$24=C13,"R2-S2 (Rak2 tengah), ","")&amp;IF('Undian Kubus'!$F$24=C13,"R2-S3 (Rak2 kanan), ","")&amp;IF('Undian Kubus'!$G$24=C13,"R3-S1 (Rak3 kiri), ","")&amp;IF('Undian Kubus'!$H$24=C13,"R3-S2 (Rak3 tengah), ","")&amp;IF('Undian Kubus'!$I$24=C13,"R3-S3 (Rak3 kanan), ",""))))))</f>
        <v>R1-S3 (Rak1 kanan), R2-S1 (Rak2 kiri), R3-S2 (Rak3 tengah)</v>
      </c>
      <c r="G13">
        <f>IF(B13="","",IFERROR(VLOOKUP(B13,'Undian Kubus'!$A$28:$I$36,7,FALSE),""))</f>
        <v>1</v>
      </c>
      <c r="H13">
        <v>1</v>
      </c>
      <c r="I13">
        <f t="shared" si="0"/>
        <v>6.666666666666667</v>
      </c>
      <c r="J13">
        <f t="shared" si="1"/>
        <v>6.666666666666667</v>
      </c>
    </row>
    <row r="14" spans="1:11" x14ac:dyDescent="0.3">
      <c r="A14">
        <v>8</v>
      </c>
      <c r="B14" t="str">
        <f>IF('Undian Kubus'!A35="","",'Undian Kubus'!A35)</f>
        <v>K-B2</v>
      </c>
      <c r="C14" t="str">
        <f>IF(B14="","",VLOOKUP(B14,'Undian Kubus'!$A$10:$D$18,2,FALSE))</f>
        <v>Biru</v>
      </c>
      <c r="D14" t="str">
        <f>IF(B14="","",VLOOKUP(B14,'Undian Kubus'!$A$10:$D$18,3,FALSE))</f>
        <v>Persegi</v>
      </c>
      <c r="E14" t="str">
        <f>IF(B14="","",IF(IFERROR(VLOOKUP(B14,'Undian Kubus'!$A$28:$I$36,5,FALSE),"")="","→ isi Rak/Stand &amp; Slot (sheet Undian Kubus)",IFERROR(VLOOKUP(B14,'Undian Kubus'!$A$28:$I$36,4,FALSE),"")))</f>
        <v>Rak 3 — tengah</v>
      </c>
      <c r="F14" t="str">
        <f>IF(B14="","",IF(C14="","",IF(COUNTA('Undian Kubus'!$A$24:$I$24)=0,"→ isi warna marker baris 24 (Undian)",IF(IF('Undian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","")="","",IF(LEN(IF('Undian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",""))&gt;2,LEFT(IF('Undian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",""),LEN(IF('Undian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",""))-2),IF('Undian Kubus'!$A$24=C14,"R1-S1 (Rak1 kiri), ","")&amp;IF('Undian Kubus'!$B$24=C14,"R1-S2 (Rak1 tengah), ","")&amp;IF('Undian Kubus'!$C$24=C14,"R1-S3 (Rak1 kanan), ","")&amp;IF('Undian Kubus'!$D$24=C14,"R2-S1 (Rak2 kiri), ","")&amp;IF('Undian Kubus'!$E$24=C14,"R2-S2 (Rak2 tengah), ","")&amp;IF('Undian Kubus'!$F$24=C14,"R2-S3 (Rak2 kanan), ","")&amp;IF('Undian Kubus'!$G$24=C14,"R3-S1 (Rak3 kiri), ","")&amp;IF('Undian Kubus'!$H$24=C14,"R3-S2 (Rak3 tengah), ","")&amp;IF('Undian Kubus'!$I$24=C14,"R3-S3 (Rak3 kanan), ",""))))))</f>
        <v>R1-S3 (Rak1 kanan), R2-S1 (Rak2 kiri), R3-S2 (Rak3 tengah)</v>
      </c>
      <c r="G14">
        <f>IF(B14="","",IFERROR(VLOOKUP(B14,'Undian Kubus'!$A$28:$I$36,7,FALSE),""))</f>
        <v>1</v>
      </c>
      <c r="H14">
        <v>1</v>
      </c>
      <c r="I14">
        <f t="shared" si="0"/>
        <v>6.666666666666667</v>
      </c>
      <c r="J14">
        <f t="shared" si="1"/>
        <v>6.666666666666667</v>
      </c>
    </row>
    <row r="15" spans="1:11" x14ac:dyDescent="0.3">
      <c r="A15">
        <v>9</v>
      </c>
      <c r="B15" t="str">
        <f>IF('Undian Kubus'!A36="","",'Undian Kubus'!A36)</f>
        <v>K-B3</v>
      </c>
      <c r="C15" t="str">
        <f>IF(B15="","",VLOOKUP(B15,'Undian Kubus'!$A$10:$D$18,2,FALSE))</f>
        <v>Biru</v>
      </c>
      <c r="D15" t="str">
        <f>IF(B15="","",VLOOKUP(B15,'Undian Kubus'!$A$10:$D$18,3,FALSE))</f>
        <v>Segitiga</v>
      </c>
      <c r="E15" t="str">
        <f>IF(B15="","",IF(IFERROR(VLOOKUP(B15,'Undian Kubus'!$A$28:$I$36,5,FALSE),"")="","→ isi Rak/Stand &amp; Slot (sheet Undian Kubus)",IFERROR(VLOOKUP(B15,'Undian Kubus'!$A$28:$I$36,4,FALSE),"")))</f>
        <v>Stand C — depan</v>
      </c>
      <c r="F15" t="str">
        <f>IF(B15="","",IF(C15="","",IF(COUNTA('Undian Kubus'!$A$24:$I$24)=0,"→ isi warna marker baris 24 (Undian)",IF(IF('Undian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","")="","",IF(LEN(IF('Undian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",""))&gt;2,LEFT(IF('Undian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",""),LEN(IF('Undian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",""))-2),IF('Undian Kubus'!$A$24=C15,"R1-S1 (Rak1 kiri), ","")&amp;IF('Undian Kubus'!$B$24=C15,"R1-S2 (Rak1 tengah), ","")&amp;IF('Undian Kubus'!$C$24=C15,"R1-S3 (Rak1 kanan), ","")&amp;IF('Undian Kubus'!$D$24=C15,"R2-S1 (Rak2 kiri), ","")&amp;IF('Undian Kubus'!$E$24=C15,"R2-S2 (Rak2 tengah), ","")&amp;IF('Undian Kubus'!$F$24=C15,"R2-S3 (Rak2 kanan), ","")&amp;IF('Undian Kubus'!$G$24=C15,"R3-S1 (Rak3 kiri), ","")&amp;IF('Undian Kubus'!$H$24=C15,"R3-S2 (Rak3 tengah), ","")&amp;IF('Undian Kubus'!$I$24=C15,"R3-S3 (Rak3 kanan), ",""))))))</f>
        <v>R1-S3 (Rak1 kanan), R2-S1 (Rak2 kiri), R3-S2 (Rak3 tengah)</v>
      </c>
      <c r="G15">
        <f>IF(B15="","",IFERROR(VLOOKUP(B15,'Undian Kubus'!$A$28:$I$36,7,FALSE),""))</f>
        <v>0</v>
      </c>
      <c r="H15">
        <v>1</v>
      </c>
      <c r="I15">
        <f t="shared" si="0"/>
        <v>6.666666666666667</v>
      </c>
      <c r="J15">
        <f t="shared" si="1"/>
        <v>6.666666666666667</v>
      </c>
    </row>
    <row r="16" spans="1:11" x14ac:dyDescent="0.3">
      <c r="E16" s="6" t="s">
        <v>282</v>
      </c>
      <c r="I16">
        <v>60</v>
      </c>
      <c r="J16">
        <f>ROUND(SUM(J7:J15),2)</f>
        <v>53.33</v>
      </c>
    </row>
    <row r="18" spans="1:2" x14ac:dyDescent="0.3">
      <c r="A18" t="s">
        <v>283</v>
      </c>
    </row>
    <row r="19" spans="1:2" x14ac:dyDescent="0.3">
      <c r="A19" t="s">
        <v>284</v>
      </c>
      <c r="B19">
        <v>0</v>
      </c>
    </row>
    <row r="20" spans="1:2" x14ac:dyDescent="0.3">
      <c r="A20" t="s">
        <v>285</v>
      </c>
      <c r="B20">
        <v>0</v>
      </c>
    </row>
    <row r="21" spans="1:2" x14ac:dyDescent="0.3">
      <c r="A21" t="s">
        <v>286</v>
      </c>
      <c r="B21">
        <v>0</v>
      </c>
    </row>
    <row r="22" spans="1:2" x14ac:dyDescent="0.3">
      <c r="A22" t="s">
        <v>287</v>
      </c>
      <c r="B22">
        <v>0</v>
      </c>
    </row>
  </sheetData>
  <mergeCells count="3">
    <mergeCell ref="A2:K2"/>
    <mergeCell ref="A1:J1"/>
    <mergeCell ref="A5:K5"/>
  </mergeCells>
  <hyperlinks>
    <hyperlink ref="A2" r:id="rId1" xr:uid="{00000000-0004-0000-0600-000000000000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1"/>
  <sheetViews>
    <sheetView workbookViewId="0"/>
  </sheetViews>
  <sheetFormatPr defaultRowHeight="14.4" x14ac:dyDescent="0.3"/>
  <cols>
    <col min="1" max="1" width="28" customWidth="1"/>
    <col min="2" max="6" width="14" customWidth="1"/>
    <col min="7" max="7" width="18" customWidth="1"/>
    <col min="8" max="8" width="14" customWidth="1"/>
    <col min="10" max="10" width="12" customWidth="1"/>
    <col min="11" max="12" width="14" customWidth="1"/>
  </cols>
  <sheetData>
    <row r="1" spans="1:12" ht="18" x14ac:dyDescent="0.35">
      <c r="A1" s="13" t="s">
        <v>288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2" ht="18" customHeight="1" x14ac:dyDescent="0.3">
      <c r="A2" s="15" t="s">
        <v>289</v>
      </c>
      <c r="B2" s="14"/>
      <c r="C2" s="14"/>
      <c r="D2" s="14"/>
      <c r="E2" s="14"/>
      <c r="F2" s="14"/>
      <c r="G2" s="14"/>
      <c r="H2" s="14"/>
    </row>
    <row r="3" spans="1:12" x14ac:dyDescent="0.3">
      <c r="A3" t="s">
        <v>30</v>
      </c>
      <c r="B3" t="s">
        <v>183</v>
      </c>
      <c r="C3" t="s">
        <v>31</v>
      </c>
      <c r="E3" t="s">
        <v>32</v>
      </c>
      <c r="G3" t="s">
        <v>188</v>
      </c>
    </row>
    <row r="4" spans="1:12" x14ac:dyDescent="0.3">
      <c r="A4" t="s">
        <v>185</v>
      </c>
      <c r="C4" t="s">
        <v>33</v>
      </c>
      <c r="E4" t="s">
        <v>138</v>
      </c>
      <c r="G4" t="s">
        <v>290</v>
      </c>
    </row>
    <row r="6" spans="1:12" ht="28.05" customHeight="1" x14ac:dyDescent="0.3">
      <c r="A6" s="6" t="s">
        <v>291</v>
      </c>
      <c r="J6" s="22" t="s">
        <v>292</v>
      </c>
      <c r="K6" s="14"/>
      <c r="L6" s="14"/>
    </row>
    <row r="7" spans="1:12" ht="18" x14ac:dyDescent="0.35">
      <c r="A7" s="6" t="s">
        <v>293</v>
      </c>
      <c r="D7" s="6" t="s">
        <v>181</v>
      </c>
      <c r="E7" t="s">
        <v>182</v>
      </c>
      <c r="G7" s="6" t="s">
        <v>273</v>
      </c>
      <c r="H7" t="s">
        <v>191</v>
      </c>
      <c r="J7" s="6" t="s">
        <v>294</v>
      </c>
      <c r="K7" s="10">
        <f ca="1">IF(E8="","",IF(H8&lt;&gt;"",H8-E8,NOW()-TODAY()-E8))</f>
        <v>9.0277777777778012E-3</v>
      </c>
    </row>
    <row r="8" spans="1:12" x14ac:dyDescent="0.3">
      <c r="A8" s="6" t="s">
        <v>295</v>
      </c>
      <c r="B8" t="s">
        <v>296</v>
      </c>
      <c r="D8" s="6" t="s">
        <v>274</v>
      </c>
      <c r="E8" t="s">
        <v>297</v>
      </c>
      <c r="G8" s="6" t="s">
        <v>116</v>
      </c>
      <c r="H8" t="s">
        <v>298</v>
      </c>
      <c r="J8" s="6" t="s">
        <v>299</v>
      </c>
      <c r="K8" s="11">
        <f>IF(AND(E8&lt;&gt;"",H8&lt;&gt;""),H8-E8,"")</f>
        <v>9.0277777777778012E-3</v>
      </c>
    </row>
    <row r="9" spans="1:12" x14ac:dyDescent="0.3">
      <c r="A9" s="6" t="s">
        <v>300</v>
      </c>
      <c r="D9" s="6" t="s">
        <v>301</v>
      </c>
      <c r="G9" s="6" t="s">
        <v>302</v>
      </c>
      <c r="J9" s="6" t="s">
        <v>303</v>
      </c>
      <c r="K9" s="12">
        <f>IF(K8="","",ROUND(K8*24*60,1))</f>
        <v>13</v>
      </c>
    </row>
    <row r="10" spans="1:12" ht="30" customHeight="1" x14ac:dyDescent="0.3">
      <c r="J10" s="23" t="s">
        <v>304</v>
      </c>
      <c r="K10" s="14"/>
      <c r="L10" s="14"/>
    </row>
    <row r="11" spans="1:12" x14ac:dyDescent="0.3">
      <c r="A11" s="6" t="s">
        <v>305</v>
      </c>
    </row>
    <row r="12" spans="1:12" x14ac:dyDescent="0.3">
      <c r="A12" s="4" t="s">
        <v>277</v>
      </c>
      <c r="B12" s="4" t="s">
        <v>306</v>
      </c>
      <c r="C12" s="4" t="s">
        <v>307</v>
      </c>
    </row>
    <row r="13" spans="1:12" x14ac:dyDescent="0.3">
      <c r="A13">
        <v>1</v>
      </c>
      <c r="B13" t="s">
        <v>308</v>
      </c>
    </row>
    <row r="14" spans="1:12" x14ac:dyDescent="0.3">
      <c r="A14">
        <v>2</v>
      </c>
      <c r="B14" t="s">
        <v>309</v>
      </c>
    </row>
    <row r="15" spans="1:12" x14ac:dyDescent="0.3">
      <c r="A15">
        <v>3</v>
      </c>
      <c r="B15" t="s">
        <v>310</v>
      </c>
    </row>
    <row r="16" spans="1:12" x14ac:dyDescent="0.3">
      <c r="A16">
        <v>4</v>
      </c>
      <c r="B16" t="s">
        <v>311</v>
      </c>
    </row>
    <row r="17" spans="1:3" x14ac:dyDescent="0.3">
      <c r="A17">
        <v>5</v>
      </c>
      <c r="B17" t="s">
        <v>312</v>
      </c>
    </row>
    <row r="18" spans="1:3" x14ac:dyDescent="0.3">
      <c r="A18">
        <v>6</v>
      </c>
      <c r="B18" t="s">
        <v>313</v>
      </c>
    </row>
    <row r="19" spans="1:3" x14ac:dyDescent="0.3">
      <c r="A19">
        <v>7</v>
      </c>
      <c r="B19" t="s">
        <v>314</v>
      </c>
    </row>
    <row r="20" spans="1:3" x14ac:dyDescent="0.3">
      <c r="A20">
        <v>8</v>
      </c>
      <c r="B20" t="s">
        <v>315</v>
      </c>
    </row>
    <row r="22" spans="1:3" x14ac:dyDescent="0.3">
      <c r="A22" t="s">
        <v>316</v>
      </c>
      <c r="B22" t="str">
        <f>IF(COUNTIF(C13:C20,1)=8,"LENGKAP","BELUM")</f>
        <v>BELUM</v>
      </c>
    </row>
    <row r="24" spans="1:3" x14ac:dyDescent="0.3">
      <c r="A24" s="6" t="s">
        <v>317</v>
      </c>
    </row>
    <row r="25" spans="1:3" x14ac:dyDescent="0.3">
      <c r="A25" s="4" t="s">
        <v>318</v>
      </c>
      <c r="B25" s="4" t="s">
        <v>319</v>
      </c>
      <c r="C25" s="4" t="s">
        <v>46</v>
      </c>
    </row>
    <row r="26" spans="1:3" x14ac:dyDescent="0.3">
      <c r="B26" t="s">
        <v>320</v>
      </c>
    </row>
    <row r="27" spans="1:3" x14ac:dyDescent="0.3">
      <c r="B27" t="s">
        <v>321</v>
      </c>
    </row>
    <row r="28" spans="1:3" x14ac:dyDescent="0.3">
      <c r="B28" t="s">
        <v>322</v>
      </c>
    </row>
    <row r="35" spans="1:7" x14ac:dyDescent="0.3">
      <c r="A35" s="6" t="s">
        <v>323</v>
      </c>
    </row>
    <row r="36" spans="1:7" x14ac:dyDescent="0.3">
      <c r="A36" t="s">
        <v>324</v>
      </c>
      <c r="C36">
        <f>COUNTIF('Modul E'!H7:H15,1)</f>
        <v>8</v>
      </c>
      <c r="D36" t="s">
        <v>325</v>
      </c>
    </row>
    <row r="37" spans="1:7" x14ac:dyDescent="0.3">
      <c r="A37" t="s">
        <v>326</v>
      </c>
      <c r="C37">
        <f>'Modul E'!J16</f>
        <v>53.33</v>
      </c>
      <c r="D37" t="s">
        <v>327</v>
      </c>
    </row>
    <row r="38" spans="1:7" x14ac:dyDescent="0.3">
      <c r="A38" t="s">
        <v>328</v>
      </c>
    </row>
    <row r="39" spans="1:7" x14ac:dyDescent="0.3">
      <c r="A39" t="s">
        <v>329</v>
      </c>
    </row>
    <row r="41" spans="1:7" x14ac:dyDescent="0.3">
      <c r="A41" t="s">
        <v>269</v>
      </c>
      <c r="D41" t="s">
        <v>330</v>
      </c>
      <c r="G41" t="s">
        <v>331</v>
      </c>
    </row>
  </sheetData>
  <mergeCells count="4">
    <mergeCell ref="J6:L6"/>
    <mergeCell ref="A1:K1"/>
    <mergeCell ref="A2:H2"/>
    <mergeCell ref="J10:L10"/>
  </mergeCells>
  <hyperlinks>
    <hyperlink ref="A2" r:id="rId1" xr:uid="{00000000-0004-0000-07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CatatSIAP">
                <anchor moveWithCells="1" sizeWithCells="1">
                  <from>
                    <xdr:col>9</xdr:col>
                    <xdr:colOff>0</xdr:colOff>
                    <xdr:row>6</xdr:row>
                    <xdr:rowOff>213360</xdr:rowOff>
                  </from>
                  <to>
                    <xdr:col>9</xdr:col>
                    <xdr:colOff>731520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CatatSTART">
                <anchor moveWithCells="1" sizeWithCells="1">
                  <from>
                    <xdr:col>9</xdr:col>
                    <xdr:colOff>784860</xdr:colOff>
                    <xdr:row>6</xdr:row>
                    <xdr:rowOff>213360</xdr:rowOff>
                  </from>
                  <to>
                    <xdr:col>10</xdr:col>
                    <xdr:colOff>701040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CatatSELESAI">
                <anchor moveWithCells="1" sizeWithCells="1">
                  <from>
                    <xdr:col>10</xdr:col>
                    <xdr:colOff>746760</xdr:colOff>
                    <xdr:row>6</xdr:row>
                    <xdr:rowOff>213360</xdr:rowOff>
                  </from>
                  <to>
                    <xdr:col>11</xdr:col>
                    <xdr:colOff>525780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ResetWaktuRun">
                <anchor moveWithCells="1" sizeWithCells="1">
                  <from>
                    <xdr:col>11</xdr:col>
                    <xdr:colOff>579120</xdr:colOff>
                    <xdr:row>6</xdr:row>
                    <xdr:rowOff>213360</xdr:rowOff>
                  </from>
                  <to>
                    <xdr:col>12</xdr:col>
                    <xdr:colOff>350520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5"/>
  <sheetViews>
    <sheetView workbookViewId="0"/>
  </sheetViews>
  <sheetFormatPr defaultRowHeight="14.4" x14ac:dyDescent="0.3"/>
  <cols>
    <col min="1" max="1" width="8" customWidth="1"/>
    <col min="2" max="2" width="32" customWidth="1"/>
    <col min="3" max="4" width="12" customWidth="1"/>
    <col min="5" max="6" width="10" customWidth="1"/>
  </cols>
  <sheetData>
    <row r="1" spans="1:6" ht="18" x14ac:dyDescent="0.35">
      <c r="A1" s="13" t="s">
        <v>332</v>
      </c>
      <c r="B1" s="14"/>
      <c r="C1" s="14"/>
      <c r="D1" s="14"/>
      <c r="E1" s="14"/>
      <c r="F1" s="14"/>
    </row>
    <row r="2" spans="1:6" ht="18" customHeight="1" x14ac:dyDescent="0.3">
      <c r="A2" s="15" t="s">
        <v>333</v>
      </c>
      <c r="B2" s="14"/>
      <c r="C2" s="14"/>
      <c r="D2" s="14"/>
      <c r="E2" s="14"/>
      <c r="F2" s="14"/>
    </row>
    <row r="3" spans="1:6" x14ac:dyDescent="0.3">
      <c r="A3" t="s">
        <v>30</v>
      </c>
      <c r="C3" t="s">
        <v>31</v>
      </c>
      <c r="E3" t="s">
        <v>32</v>
      </c>
    </row>
    <row r="5" spans="1:6" x14ac:dyDescent="0.3">
      <c r="A5" s="4" t="s">
        <v>334</v>
      </c>
      <c r="B5" s="4" t="s">
        <v>38</v>
      </c>
      <c r="C5" s="4" t="s">
        <v>335</v>
      </c>
      <c r="D5" s="4" t="s">
        <v>144</v>
      </c>
      <c r="E5" s="4" t="s">
        <v>336</v>
      </c>
      <c r="F5" s="4" t="s">
        <v>337</v>
      </c>
    </row>
    <row r="6" spans="1:6" x14ac:dyDescent="0.3">
      <c r="A6" t="s">
        <v>338</v>
      </c>
      <c r="B6" t="s">
        <v>339</v>
      </c>
      <c r="C6">
        <v>8</v>
      </c>
      <c r="D6">
        <f>'Modul A'!H11</f>
        <v>0</v>
      </c>
      <c r="E6">
        <f>IF(C6=0,0,D6/C6*100)</f>
        <v>0</v>
      </c>
      <c r="F6" t="s">
        <v>68</v>
      </c>
    </row>
    <row r="7" spans="1:6" x14ac:dyDescent="0.3">
      <c r="A7" t="s">
        <v>340</v>
      </c>
      <c r="B7" t="s">
        <v>341</v>
      </c>
      <c r="C7">
        <v>10</v>
      </c>
      <c r="D7" t="e">
        <f>'Modul B'!I15</f>
        <v>#VALUE!</v>
      </c>
      <c r="E7" t="e">
        <f>IF(C7=0,0,D7/C7*100)</f>
        <v>#VALUE!</v>
      </c>
      <c r="F7" t="s">
        <v>342</v>
      </c>
    </row>
    <row r="8" spans="1:6" x14ac:dyDescent="0.3">
      <c r="A8" t="s">
        <v>343</v>
      </c>
      <c r="B8" t="s">
        <v>344</v>
      </c>
      <c r="C8">
        <v>10</v>
      </c>
      <c r="D8">
        <f>'Modul C'!H11</f>
        <v>0</v>
      </c>
      <c r="E8">
        <f>IF(C8=0,0,D8/C8*100)</f>
        <v>0</v>
      </c>
      <c r="F8" t="s">
        <v>68</v>
      </c>
    </row>
    <row r="9" spans="1:6" x14ac:dyDescent="0.3">
      <c r="A9" t="s">
        <v>345</v>
      </c>
      <c r="B9" t="s">
        <v>346</v>
      </c>
      <c r="C9">
        <v>12</v>
      </c>
      <c r="D9">
        <f>'Modul D'!F21</f>
        <v>0</v>
      </c>
      <c r="E9">
        <f>IF(C9=0,0,D9/C9*100)</f>
        <v>0</v>
      </c>
      <c r="F9" t="s">
        <v>82</v>
      </c>
    </row>
    <row r="10" spans="1:6" x14ac:dyDescent="0.3">
      <c r="A10" t="s">
        <v>347</v>
      </c>
      <c r="B10" t="s">
        <v>348</v>
      </c>
      <c r="C10">
        <v>60</v>
      </c>
      <c r="D10">
        <f>'Modul E'!J16</f>
        <v>53.33</v>
      </c>
      <c r="E10">
        <f>IF(C10=0,0,D10/C10*100)</f>
        <v>88.883333333333326</v>
      </c>
      <c r="F10" t="s">
        <v>82</v>
      </c>
    </row>
    <row r="11" spans="1:6" x14ac:dyDescent="0.3">
      <c r="B11" s="6" t="s">
        <v>349</v>
      </c>
      <c r="C11">
        <v>100</v>
      </c>
      <c r="D11" t="e">
        <f>SUM(D6:D10)</f>
        <v>#VALUE!</v>
      </c>
      <c r="E11" t="e">
        <f>D11</f>
        <v>#VALUE!</v>
      </c>
    </row>
    <row r="13" spans="1:6" x14ac:dyDescent="0.3">
      <c r="A13" t="s">
        <v>350</v>
      </c>
    </row>
    <row r="14" spans="1:6" x14ac:dyDescent="0.3">
      <c r="A14" t="s">
        <v>351</v>
      </c>
    </row>
    <row r="15" spans="1:6" x14ac:dyDescent="0.3">
      <c r="A15" t="s">
        <v>352</v>
      </c>
    </row>
  </sheetData>
  <mergeCells count="2">
    <mergeCell ref="A2:F2"/>
    <mergeCell ref="A1:F1"/>
  </mergeCells>
  <hyperlinks>
    <hyperlink ref="A2" r:id="rId1" location="12-rekapitulasi--cis" xr:uid="{00000000-0004-0000-0800-00000000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Panduan</vt:lpstr>
      <vt:lpstr>Modul A</vt:lpstr>
      <vt:lpstr>Modul B</vt:lpstr>
      <vt:lpstr>Modul C</vt:lpstr>
      <vt:lpstr>Modul D</vt:lpstr>
      <vt:lpstr>Undian Kubus</vt:lpstr>
      <vt:lpstr>Modul E</vt:lpstr>
      <vt:lpstr>Log Run Otonom</vt:lpstr>
      <vt:lpstr>Rekapitulasi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 Prafanto</cp:lastModifiedBy>
  <dcterms:created xsi:type="dcterms:W3CDTF">2026-06-25T01:00:16Z</dcterms:created>
  <dcterms:modified xsi:type="dcterms:W3CDTF">2026-06-25T01:00:22Z</dcterms:modified>
</cp:coreProperties>
</file>