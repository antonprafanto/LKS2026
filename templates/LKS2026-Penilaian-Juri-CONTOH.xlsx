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Modul A" sheetId="2" state="visible" r:id="rId2"/>
    <sheet xmlns:r="http://schemas.openxmlformats.org/officeDocument/2006/relationships" name="Modul B" sheetId="3" state="visible" r:id="rId3"/>
    <sheet xmlns:r="http://schemas.openxmlformats.org/officeDocument/2006/relationships" name="Modul C" sheetId="4" state="visible" r:id="rId4"/>
    <sheet xmlns:r="http://schemas.openxmlformats.org/officeDocument/2006/relationships" name="Modul D" sheetId="5" state="visible" r:id="rId5"/>
    <sheet xmlns:r="http://schemas.openxmlformats.org/officeDocument/2006/relationships" name="Undian Kubus" sheetId="6" state="visible" r:id="rId6"/>
    <sheet xmlns:r="http://schemas.openxmlformats.org/officeDocument/2006/relationships" name="Modul E" sheetId="7" state="visible" r:id="rId7"/>
    <sheet xmlns:r="http://schemas.openxmlformats.org/officeDocument/2006/relationships" name="Log Run Otonom" sheetId="8" state="visible" r:id="rId8"/>
    <sheet xmlns:r="http://schemas.openxmlformats.org/officeDocument/2006/relationships" name="Rekapitula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0563C1"/>
      <sz val="11"/>
      <u val="single"/>
    </font>
    <font>
      <i val="1"/>
      <color rgb="000563C1"/>
      <sz val="10"/>
      <u val="single"/>
    </font>
    <font>
      <b val="1"/>
      <color rgb="00FFFFFF"/>
    </font>
    <font>
      <b val="1"/>
    </font>
    <font>
      <b val="1"/>
      <sz val="12"/>
    </font>
    <font>
      <i val="1"/>
      <color rgb="00404040"/>
      <sz val="10"/>
    </font>
    <font>
      <b val="1"/>
      <color rgb="001F4E79"/>
      <sz val="11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1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ntonprafanto/LKS2026/blob/main/docs/README.md" TargetMode="External" Id="rId1"/><Relationship Type="http://schemas.openxmlformats.org/officeDocument/2006/relationships/hyperlink" Target="https://github.com/antonprafanto/LKS2026/blob/main/docs/SOP-JURI.md#5-sop-penilaian-modul-a--organisasi--manajemen-kerja-8-poin-j" TargetMode="External" Id="rId2"/><Relationship Type="http://schemas.openxmlformats.org/officeDocument/2006/relationships/hyperlink" Target="https://github.com/antonprafanto/LKS2026/blob/main/docs/SOP-JURI.md#6-sop-penilaian-modul-b--jurnal-teknis-10-poin-j-8--m-2" TargetMode="External" Id="rId3"/><Relationship Type="http://schemas.openxmlformats.org/officeDocument/2006/relationships/hyperlink" Target="https://github.com/antonprafanto/LKS2026/blob/main/docs/SOP-JURI.md#7-sop-penilaian-modul-c--perakitan-robot-10-poin-j" TargetMode="External" Id="rId4"/><Relationship Type="http://schemas.openxmlformats.org/officeDocument/2006/relationships/hyperlink" Target="https://github.com/antonprafanto/LKS2026/blob/main/docs/SOP-JURI.md#8-sop-penilaian-modul-d--gerakan-dasar-12-poin-m" TargetMode="External" Id="rId5"/><Relationship Type="http://schemas.openxmlformats.org/officeDocument/2006/relationships/hyperlink" Target="https://github.com/antonprafanto/LKS2026/blob/main/docs/PANDUAN-MODUL-E.md" TargetMode="External" Id="rId6"/><Relationship Type="http://schemas.openxmlformats.org/officeDocument/2006/relationships/hyperlink" Target="https://github.com/antonprafanto/LKS2026/blob/main/docs/PANDUAN-LOG-RUN.md" TargetMode="External" Id="rId7"/><Relationship Type="http://schemas.openxmlformats.org/officeDocument/2006/relationships/hyperlink" Target="https://github.com/antonprafanto/LKS2026/blob/main/docs/CONTOH-EXCEL-MODUL-E.md" TargetMode="External" Id="rId8"/><Relationship Type="http://schemas.openxmlformats.org/officeDocument/2006/relationships/hyperlink" Target="https://github.com/antonprafanto/LKS2026/blob/main/docs/SOP-JURI.md#10-sop-pengacakan-kubus" TargetMode="External" Id="rId9"/><Relationship Type="http://schemas.openxmlformats.org/officeDocument/2006/relationships/hyperlink" Target="https://github.com/antonprafanto/LKS2026/blob/main/docs/SOP-JURI.md#12-rekapitulasi--cis" TargetMode="External" Id="rId10"/><Relationship Type="http://schemas.openxmlformats.org/officeDocument/2006/relationships/hyperlink" Target="https://github.com/antonprafanto/LKS2026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ntonprafanto/LKS2026/blob/main/docs/SOP-JURI.md#5-sop-penilaian-modul-a--organisasi--manajemen-kerja-8-poin-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ntonprafanto/LKS2026/blob/main/docs/SOP-JURI.md#6-sop-penilaian-modul-b--jurnal-teknis-10-poin-j-8--m-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ntonprafanto/LKS2026/blob/main/docs/SOP-JURI.md#7-sop-penilaian-modul-c--perakitan-robot-10-poin-j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antonprafanto/LKS2026/blob/main/docs/SOP-JURI.md#8-sop-penilaian-modul-d--gerakan-dasar-12-poin-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antonprafanto/LKS2026/blob/main/docs/SOP-JURI.md#10-sop-pengacakan-kubus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antonprafanto/LKS2026/blob/main/docs/PANDUAN-MODUL-E.m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antonprafanto/LKS2026/blob/main/docs/PANDUAN-LOG-RUN.m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antonprafanto/LKS2026/blob/main/docs/SOP-JURI.md#12-rekapitulasi--ci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PANDUAN PENGGUNAAN — LKS 2026 Penilaian Juri</t>
        </is>
      </c>
    </row>
    <row r="2">
      <c r="A2" s="2" t="inlineStr">
        <is>
          <t>BANTUAN ONLINE (GitHub) — klik baris di bawah jika bingung cara pakai:</t>
        </is>
      </c>
    </row>
    <row r="3">
      <c r="A3" s="3" t="inlineStr">
        <is>
          <t>→ Daftar semua panduan juri</t>
        </is>
      </c>
    </row>
    <row r="4">
      <c r="A4" s="3" t="inlineStr">
        <is>
          <t>→ Modul A — Organisasi &amp; manajemen kerja</t>
        </is>
      </c>
    </row>
    <row r="5">
      <c r="A5" s="3" t="inlineStr">
        <is>
          <t>→ Modul B — Jurnal teknis</t>
        </is>
      </c>
    </row>
    <row r="6">
      <c r="A6" s="3" t="inlineStr">
        <is>
          <t>→ Modul C — Perakitan robot</t>
        </is>
      </c>
    </row>
    <row r="7">
      <c r="A7" s="3" t="inlineStr">
        <is>
          <t>→ Modul D — Gerakan dasar</t>
        </is>
      </c>
    </row>
    <row r="8">
      <c r="A8" s="3" t="inlineStr">
        <is>
          <t>→ Modul E — panduan lengkap (WAJIB BACA)</t>
        </is>
      </c>
    </row>
    <row r="9">
      <c r="A9" s="3" t="inlineStr">
        <is>
          <t>→ Log Run Otonom — panduan lengkap (WAJIB BACA)</t>
        </is>
      </c>
    </row>
    <row r="10">
      <c r="A10" s="3" t="inlineStr">
        <is>
          <t>→ Modul E — contoh angka step-by-step</t>
        </is>
      </c>
    </row>
    <row r="11">
      <c r="A11" s="3" t="inlineStr">
        <is>
          <t>→ Undian Kubus — pengacakan posisi</t>
        </is>
      </c>
    </row>
    <row r="12">
      <c r="A12" s="3" t="inlineStr">
        <is>
          <t>→ Rekapitulasi — total &amp; CIS</t>
        </is>
      </c>
    </row>
    <row r="13">
      <c r="A13" s="3" t="inlineStr">
        <is>
          <t>→ Repositori lengkap</t>
        </is>
      </c>
    </row>
    <row r="15"/>
    <row r="16">
      <c r="A16" t="inlineStr">
        <is>
          <t>SATU FILE INI untuk seluruh penilaian — jangan buka file CSV terpisah.</t>
        </is>
      </c>
    </row>
    <row r="17">
      <c r="A17" t="inlineStr">
        <is>
          <t>Kompatibel Excel 2010+ (tanpa fungsi TEXTJOIN).</t>
        </is>
      </c>
    </row>
    <row r="18"/>
    <row r="19">
      <c r="A19" t="inlineStr">
        <is>
          <t>LATIHAN: buka LKS2026-Penilaian-Juri-CONTOH.xlsx untuk melihat contoh terisi.</t>
        </is>
      </c>
    </row>
    <row r="20"/>
    <row r="21">
      <c r="A21" t="inlineStr">
        <is>
          <t>1. Duplikat workbook ini per TIM (Save As).</t>
        </is>
      </c>
    </row>
    <row r="22">
      <c r="A22" t="inlineStr">
        <is>
          <t>2. Modul A/B/C: isi skor Juri 1-3 (0-3). Skor otomatis.</t>
        </is>
      </c>
    </row>
    <row r="23">
      <c r="A23" t="inlineStr">
        <is>
          <t>3. Modul B: isi Tepat Waktu (1/0) di G4.</t>
        </is>
      </c>
    </row>
    <row r="24">
      <c r="A24" t="inlineStr">
        <is>
          <t>4. UNDIAN KUBUS (isi DULU sebelum Modul E):</t>
        </is>
      </c>
    </row>
    <row r="25">
      <c r="A25" t="inlineStr">
        <is>
          <t xml:space="preserve">   a. Baris 24 (kuning): warna marker Merah/Hijau/Biru per slot.</t>
        </is>
      </c>
    </row>
    <row r="26">
      <c r="A26" t="inlineStr">
        <is>
          <t xml:space="preserve">   b. Baris 28–36: kolom A = ID kubus | E = Rak/Stand | F = Slot.</t>
        </is>
      </c>
    </row>
    <row r="27">
      <c r="A27" t="inlineStr">
        <is>
          <t>5. MODUL E: kolom B-G otomatis. Juri isi kolom H (Hasil Run 1/0) saja.</t>
        </is>
      </c>
    </row>
    <row r="28">
      <c r="A28" t="inlineStr">
        <is>
          <t xml:space="preserve">   OK Awal = posisi sudah benar sebelum run | Hasil Run = sukses setelah run.</t>
        </is>
      </c>
    </row>
    <row r="29">
      <c r="A29" t="inlineStr">
        <is>
          <t>6. Log Run Otonom: checklist SIAP/START + kronologi.</t>
        </is>
      </c>
    </row>
    <row r="30">
      <c r="A30" t="inlineStr">
        <is>
          <t>7. Rekapitulasi: total otomatis. Input ke CIS (Chief Expert).</t>
        </is>
      </c>
    </row>
    <row r="31"/>
    <row r="32">
      <c r="A32" t="inlineStr">
        <is>
          <t>Sheet: Panduan | Modul A-E | Undian Kubus | Log Run | Rekapitulasi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MODUL A — Organisasi &amp; Manajemen Kerja (8 poin, Judgement)</t>
        </is>
      </c>
    </row>
    <row r="2" ht="18" customHeight="1">
      <c r="A2" s="4" t="inlineStr">
        <is>
          <t>Bingung cara nilai Modul A?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Tanggal: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6">
      <c r="A6" s="5" t="inlineStr">
        <is>
          <t>Sub</t>
        </is>
      </c>
      <c r="B6" s="5" t="inlineStr">
        <is>
          <t>Kriteria</t>
        </is>
      </c>
      <c r="C6" s="5" t="inlineStr">
        <is>
          <t>Max</t>
        </is>
      </c>
      <c r="D6" s="5" t="inlineStr">
        <is>
          <t>Juri 1</t>
        </is>
      </c>
      <c r="E6" s="5" t="inlineStr">
        <is>
          <t>Juri 2</t>
        </is>
      </c>
      <c r="F6" s="5" t="inlineStr">
        <is>
          <t>Juri 3</t>
        </is>
      </c>
      <c r="G6" s="5" t="inlineStr">
        <is>
          <t>Rata-rata</t>
        </is>
      </c>
      <c r="H6" s="5" t="inlineStr">
        <is>
          <t>Skor Akhir</t>
        </is>
      </c>
      <c r="I6" s="5" t="inlineStr">
        <is>
          <t>Selisih</t>
        </is>
      </c>
      <c r="J6" s="5" t="inlineStr">
        <is>
          <t>Catatan</t>
        </is>
      </c>
    </row>
    <row r="7">
      <c r="A7" t="inlineStr">
        <is>
          <t>A1</t>
        </is>
      </c>
      <c r="B7" t="inlineStr">
        <is>
          <t>Efisiensi Penjadwalan Kerja</t>
        </is>
      </c>
      <c r="C7" t="n">
        <v>2</v>
      </c>
      <c r="D7" s="6" t="n"/>
      <c r="E7" s="6" t="n"/>
      <c r="F7" s="6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A2</t>
        </is>
      </c>
      <c r="B8" t="inlineStr">
        <is>
          <t>Kolaborasi Tim &amp; Manajemen Tugas</t>
        </is>
      </c>
      <c r="C8" t="n">
        <v>2</v>
      </c>
      <c r="D8" s="6" t="n"/>
      <c r="E8" s="6" t="n"/>
      <c r="F8" s="6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A3</t>
        </is>
      </c>
      <c r="B9" t="inlineStr">
        <is>
          <t>Organisasi &amp; Kerapian Area Kerja (5S)</t>
        </is>
      </c>
      <c r="C9" t="n">
        <v>2</v>
      </c>
      <c r="D9" s="6" t="n"/>
      <c r="E9" s="6" t="n"/>
      <c r="F9" s="6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A4</t>
        </is>
      </c>
      <c r="B10" t="inlineStr">
        <is>
          <t>Restorasi Area Kerja</t>
        </is>
      </c>
      <c r="C10" t="n">
        <v>2</v>
      </c>
      <c r="D10" s="6" t="n"/>
      <c r="E10" s="6" t="n"/>
      <c r="F10" s="6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B11" s="7" t="inlineStr">
        <is>
          <t>TOTAL MODUL A</t>
        </is>
      </c>
      <c r="C11" t="n">
        <v>8</v>
      </c>
      <c r="H11">
        <f>SUM(H7:H10)</f>
        <v/>
      </c>
    </row>
  </sheetData>
  <mergeCells count="2">
    <mergeCell ref="A1:I1"/>
    <mergeCell ref="A2:I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20" customWidth="1" min="11" max="11"/>
  </cols>
  <sheetData>
    <row r="1">
      <c r="A1" s="1" t="inlineStr">
        <is>
          <t>MODUL B — Jurnal / Laporan Teknis (10 poin: J 8 + M 2)</t>
        </is>
      </c>
    </row>
    <row r="2" ht="18" customHeight="1">
      <c r="A2" s="4" t="inlineStr">
        <is>
          <t>Bingung cara nilai Modul B?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Deadline: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  <c r="G4" t="inlineStr">
        <is>
          <t>Tepat Waktu (1/0):</t>
        </is>
      </c>
    </row>
    <row r="6">
      <c r="A6" s="5" t="inlineStr">
        <is>
          <t>Kode</t>
        </is>
      </c>
      <c r="B6" s="5" t="inlineStr">
        <is>
          <t>Aspek</t>
        </is>
      </c>
      <c r="C6" s="5" t="inlineStr">
        <is>
          <t>Tipe</t>
        </is>
      </c>
      <c r="D6" s="5" t="inlineStr">
        <is>
          <t>Max</t>
        </is>
      </c>
      <c r="E6" s="5" t="inlineStr">
        <is>
          <t>J1</t>
        </is>
      </c>
      <c r="F6" s="5" t="inlineStr">
        <is>
          <t>J2</t>
        </is>
      </c>
      <c r="G6" s="5" t="inlineStr">
        <is>
          <t>J3</t>
        </is>
      </c>
      <c r="H6" s="5" t="inlineStr">
        <is>
          <t>Rata-rata</t>
        </is>
      </c>
      <c r="I6" s="5" t="inlineStr">
        <is>
          <t>Skor Akhir</t>
        </is>
      </c>
      <c r="J6" s="5" t="inlineStr">
        <is>
          <t>Selisih</t>
        </is>
      </c>
      <c r="K6" s="5" t="inlineStr">
        <is>
          <t>Catatan</t>
        </is>
      </c>
    </row>
    <row r="7">
      <c r="A7" t="inlineStr">
        <is>
          <t>B-J1</t>
        </is>
      </c>
      <c r="B7" t="inlineStr">
        <is>
          <t>Kualitas Fabrikasi Rangka &amp; Stabilitas</t>
        </is>
      </c>
      <c r="C7" t="inlineStr">
        <is>
          <t>J</t>
        </is>
      </c>
      <c r="D7" t="n">
        <v>1.5</v>
      </c>
      <c r="H7">
        <f>IF(COUNT(E7:G7)=0,"",AVERAGE(E7:G7))</f>
        <v/>
      </c>
      <c r="I7">
        <f>IF(H7="",0,H7*D7/3)</f>
        <v/>
      </c>
      <c r="J7">
        <f>IF(COUNT(E7:G7)&lt;2,"",MAX(E7:G7)-MIN(E7:G7))</f>
        <v/>
      </c>
    </row>
    <row r="8">
      <c r="A8" t="inlineStr">
        <is>
          <t>B-J2</t>
        </is>
      </c>
      <c r="B8" t="inlineStr">
        <is>
          <t>Manajemen Pengkabelan (Wiring)</t>
        </is>
      </c>
      <c r="C8" t="inlineStr">
        <is>
          <t>J</t>
        </is>
      </c>
      <c r="D8" t="n">
        <v>1.5</v>
      </c>
      <c r="H8">
        <f>IF(COUNT(E8:G8)=0,"",AVERAGE(E8:G8))</f>
        <v/>
      </c>
      <c r="I8">
        <f>IF(H8="",0,H8*D8/3)</f>
        <v/>
      </c>
      <c r="J8">
        <f>IF(COUNT(E8:G8)&lt;2,"",MAX(E8:G8)-MIN(E8:G8))</f>
        <v/>
      </c>
    </row>
    <row r="9">
      <c r="A9" t="inlineStr">
        <is>
          <t>B-J3</t>
        </is>
      </c>
      <c r="B9" t="inlineStr">
        <is>
          <t>Integrasi Sistem Penggerak</t>
        </is>
      </c>
      <c r="C9" t="inlineStr">
        <is>
          <t>J</t>
        </is>
      </c>
      <c r="D9" t="n">
        <v>1.5</v>
      </c>
      <c r="H9">
        <f>IF(COUNT(E9:G9)=0,"",AVERAGE(E9:G9))</f>
        <v/>
      </c>
      <c r="I9">
        <f>IF(H9="",0,H9*D9/3)</f>
        <v/>
      </c>
      <c r="J9">
        <f>IF(COUNT(E9:G9)&lt;2,"",MAX(E9:G9)-MIN(E9:G9))</f>
        <v/>
      </c>
    </row>
    <row r="10">
      <c r="A10" t="inlineStr">
        <is>
          <t>B-J4</t>
        </is>
      </c>
      <c r="B10" t="inlineStr">
        <is>
          <t>Kalibrasi Sensor &amp; Aktuator</t>
        </is>
      </c>
      <c r="C10" t="inlineStr">
        <is>
          <t>J</t>
        </is>
      </c>
      <c r="D10" t="n">
        <v>1.5</v>
      </c>
      <c r="H10">
        <f>IF(COUNT(E10:G10)=0,"",AVERAGE(E10:G10))</f>
        <v/>
      </c>
      <c r="I10">
        <f>IF(H10="",0,H10*D10/3)</f>
        <v/>
      </c>
      <c r="J10">
        <f>IF(COUNT(E10:G10)&lt;2,"",MAX(E10:G10)-MIN(E10:G10))</f>
        <v/>
      </c>
    </row>
    <row r="11">
      <c r="A11" t="inlineStr">
        <is>
          <t>B-J5</t>
        </is>
      </c>
      <c r="B11" t="inlineStr">
        <is>
          <t>Optimasi Software-Hardware</t>
        </is>
      </c>
      <c r="C11" t="inlineStr">
        <is>
          <t>J</t>
        </is>
      </c>
      <c r="D11" t="n">
        <v>1.5</v>
      </c>
      <c r="H11">
        <f>IF(COUNT(E11:G11)=0,"",AVERAGE(E11:G11))</f>
        <v/>
      </c>
      <c r="I11">
        <f>IF(H11="",0,H11*D11/3)</f>
        <v/>
      </c>
      <c r="J11">
        <f>IF(COUNT(E11:G11)&lt;2,"",MAX(E11:G11)-MIN(E11:G11))</f>
        <v/>
      </c>
    </row>
    <row r="12">
      <c r="A12" t="inlineStr">
        <is>
          <t>B-J6</t>
        </is>
      </c>
      <c r="B12" t="inlineStr">
        <is>
          <t>Kelengkapan Dokumentasi</t>
        </is>
      </c>
      <c r="C12" t="inlineStr">
        <is>
          <t>J</t>
        </is>
      </c>
      <c r="D12" t="n">
        <v>0.5</v>
      </c>
      <c r="H12">
        <f>IF(COUNT(E12:G12)=0,"",AVERAGE(E12:G12))</f>
        <v/>
      </c>
      <c r="I12">
        <f>IF(H12="",0,H12*D12/3)</f>
        <v/>
      </c>
      <c r="J12">
        <f>IF(COUNT(E12:G12)&lt;2,"",MAX(E12:G12)-MIN(E12:G12))</f>
        <v/>
      </c>
    </row>
    <row r="13">
      <c r="B13" s="7" t="inlineStr">
        <is>
          <t>SUBTOTAL JUDGEMENT</t>
        </is>
      </c>
      <c r="D13" t="n">
        <v>8</v>
      </c>
      <c r="I13">
        <f>SUM(I7:I12)</f>
        <v/>
      </c>
    </row>
    <row r="14">
      <c r="A14" t="inlineStr">
        <is>
          <t>B-M1</t>
        </is>
      </c>
      <c r="B14" t="inlineStr">
        <is>
          <t>Ketepatan Mengumpulkan sesuai Waktu</t>
        </is>
      </c>
      <c r="C14" t="inlineStr">
        <is>
          <t>M</t>
        </is>
      </c>
      <c r="D14" t="n">
        <v>2</v>
      </c>
      <c r="I14">
        <f>IF(G4="",0,G4*D14)</f>
        <v/>
      </c>
    </row>
    <row r="15">
      <c r="B15" s="7" t="inlineStr">
        <is>
          <t>TOTAL MODUL B</t>
        </is>
      </c>
      <c r="D15" t="n">
        <v>10</v>
      </c>
      <c r="I15">
        <f>I13+I14</f>
        <v/>
      </c>
    </row>
    <row r="17">
      <c r="A17" s="7" t="inlineStr">
        <is>
          <t>CHECKLIST KELENGKAPAN (1=ada)</t>
        </is>
      </c>
    </row>
    <row r="18">
      <c r="A18" t="inlineStr">
        <is>
          <t>C1</t>
        </is>
      </c>
      <c r="B18" t="inlineStr">
        <is>
          <t>Analisis Tugas &amp; Strategi</t>
        </is>
      </c>
    </row>
    <row r="19">
      <c r="A19" t="inlineStr">
        <is>
          <t>C2</t>
        </is>
      </c>
      <c r="B19" t="inlineStr">
        <is>
          <t>Desain Mekanik</t>
        </is>
      </c>
    </row>
    <row r="20">
      <c r="A20" t="inlineStr">
        <is>
          <t>C3</t>
        </is>
      </c>
      <c r="B20" t="inlineStr">
        <is>
          <t>Diagram Blok</t>
        </is>
      </c>
    </row>
    <row r="21">
      <c r="A21" t="inlineStr">
        <is>
          <t>C4</t>
        </is>
      </c>
      <c r="B21" t="inlineStr">
        <is>
          <t>Bill of Materials</t>
        </is>
      </c>
    </row>
    <row r="22">
      <c r="A22" t="inlineStr">
        <is>
          <t>C5</t>
        </is>
      </c>
      <c r="B22" t="inlineStr">
        <is>
          <t>Dokumentasi Fabrikasi</t>
        </is>
      </c>
    </row>
    <row r="23">
      <c r="A23" t="inlineStr">
        <is>
          <t>C6</t>
        </is>
      </c>
      <c r="B23" t="inlineStr">
        <is>
          <t>Manajemen Kelistrikan</t>
        </is>
      </c>
    </row>
    <row r="24">
      <c r="A24" t="inlineStr">
        <is>
          <t>C7</t>
        </is>
      </c>
      <c r="B24" t="inlineStr">
        <is>
          <t>Penempatan Sensor</t>
        </is>
      </c>
    </row>
    <row r="25">
      <c r="A25" t="inlineStr">
        <is>
          <t>C8</t>
        </is>
      </c>
      <c r="B25" t="inlineStr">
        <is>
          <t>Arsitektur Software</t>
        </is>
      </c>
    </row>
    <row r="26">
      <c r="A26" t="inlineStr">
        <is>
          <t>C9</t>
        </is>
      </c>
      <c r="B26" t="inlineStr">
        <is>
          <t>Algoritma Navigasi</t>
        </is>
      </c>
    </row>
    <row r="27">
      <c r="A27" t="inlineStr">
        <is>
          <t>C10</t>
        </is>
      </c>
      <c r="B27" t="inlineStr">
        <is>
          <t>Algoritma Visi</t>
        </is>
      </c>
    </row>
    <row r="28">
      <c r="A28" t="inlineStr">
        <is>
          <t>C11</t>
        </is>
      </c>
      <c r="B28" t="inlineStr">
        <is>
          <t>Flowchart</t>
        </is>
      </c>
    </row>
    <row r="29">
      <c r="A29" t="inlineStr">
        <is>
          <t>C12</t>
        </is>
      </c>
      <c r="B29" t="inlineStr">
        <is>
          <t>Data Kalibrasi</t>
        </is>
      </c>
    </row>
    <row r="30">
      <c r="A30" t="inlineStr">
        <is>
          <t>C13</t>
        </is>
      </c>
      <c r="B30" t="inlineStr">
        <is>
          <t>Tuning Kontroler</t>
        </is>
      </c>
    </row>
    <row r="31">
      <c r="A31" t="inlineStr">
        <is>
          <t>C14</t>
        </is>
      </c>
      <c r="B31" t="inlineStr">
        <is>
          <t>Log Troubleshooting</t>
        </is>
      </c>
    </row>
  </sheetData>
  <mergeCells count="2">
    <mergeCell ref="A2:K2"/>
    <mergeCell ref="A1:K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22" customWidth="1" min="10" max="10"/>
  </cols>
  <sheetData>
    <row r="1">
      <c r="A1" s="1" t="inlineStr">
        <is>
          <t>MODUL C — Pembuatan &amp; Perakitan Robot (10 poin, Judgement)</t>
        </is>
      </c>
    </row>
    <row r="2" ht="18" customHeight="1">
      <c r="A2" s="4" t="inlineStr">
        <is>
          <t>Bingung cara nilai Modul C?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Waktu Mulai:</t>
        </is>
      </c>
      <c r="G3" t="inlineStr">
        <is>
          <t>Waktu Selesai:</t>
        </is>
      </c>
      <c r="I3" t="inlineStr">
        <is>
          <t>Durasi (jam):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6">
      <c r="A6" s="5" t="inlineStr">
        <is>
          <t>Sub</t>
        </is>
      </c>
      <c r="B6" s="5" t="inlineStr">
        <is>
          <t>Kriteria</t>
        </is>
      </c>
      <c r="C6" s="5" t="inlineStr">
        <is>
          <t>Max</t>
        </is>
      </c>
      <c r="D6" s="5" t="inlineStr">
        <is>
          <t>J1</t>
        </is>
      </c>
      <c r="E6" s="5" t="inlineStr">
        <is>
          <t>J2</t>
        </is>
      </c>
      <c r="F6" s="5" t="inlineStr">
        <is>
          <t>J3</t>
        </is>
      </c>
      <c r="G6" s="5" t="inlineStr">
        <is>
          <t>Rata-rata</t>
        </is>
      </c>
      <c r="H6" s="5" t="inlineStr">
        <is>
          <t>Skor Akhir</t>
        </is>
      </c>
      <c r="I6" s="5" t="inlineStr">
        <is>
          <t>Selisih</t>
        </is>
      </c>
      <c r="J6" s="5" t="inlineStr">
        <is>
          <t>Catatan</t>
        </is>
      </c>
    </row>
    <row r="7">
      <c r="A7" t="inlineStr">
        <is>
          <t>C1</t>
        </is>
      </c>
      <c r="B7" t="inlineStr">
        <is>
          <t>Perakitan L-Channel sebagai Penyangga Utama Lift</t>
        </is>
      </c>
      <c r="C7" t="n">
        <v>2.5</v>
      </c>
      <c r="D7" s="6" t="n"/>
      <c r="E7" s="6" t="n"/>
      <c r="F7" s="6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C2</t>
        </is>
      </c>
      <c r="B8" t="inlineStr">
        <is>
          <t>Integrasi Sistem Angkat / Gripper / Lifter</t>
        </is>
      </c>
      <c r="C8" t="n">
        <v>2.5</v>
      </c>
      <c r="D8" s="6" t="n"/>
      <c r="E8" s="6" t="n"/>
      <c r="F8" s="6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C3</t>
        </is>
      </c>
      <c r="B9" t="inlineStr">
        <is>
          <t>Kualitas Rewiring (rapi, aman)</t>
        </is>
      </c>
      <c r="C9" t="n">
        <v>2.5</v>
      </c>
      <c r="D9" s="6" t="n"/>
      <c r="E9" s="6" t="n"/>
      <c r="F9" s="6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C4</t>
        </is>
      </c>
      <c r="B10" t="inlineStr">
        <is>
          <t>Kelayakan Operasional (STOP, struktur stabil)</t>
        </is>
      </c>
      <c r="C10" t="n">
        <v>2.5</v>
      </c>
      <c r="D10" s="6" t="n"/>
      <c r="E10" s="6" t="n"/>
      <c r="F10" s="6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B11" s="7" t="inlineStr">
        <is>
          <t>TOTAL MODUL C</t>
        </is>
      </c>
      <c r="C11" t="n">
        <v>10</v>
      </c>
      <c r="H11">
        <f>SUM(H7:H10)</f>
        <v/>
      </c>
    </row>
    <row r="13">
      <c r="A13" s="7" t="inlineStr">
        <is>
          <t>CHECKLIST INSPEKSI (1=Lulus 0=Tidak)</t>
        </is>
      </c>
    </row>
    <row r="14">
      <c r="A14" t="inlineStr">
        <is>
          <t>I1</t>
        </is>
      </c>
      <c r="B14" t="inlineStr">
        <is>
          <t>L-Channel sebagai penyangga utama angkat</t>
        </is>
      </c>
    </row>
    <row r="15">
      <c r="A15" t="inlineStr">
        <is>
          <t>I2</t>
        </is>
      </c>
      <c r="B15" t="inlineStr">
        <is>
          <t>Sistem objek terpasang kuat di L-Channel</t>
        </is>
      </c>
    </row>
    <row r="16">
      <c r="A16" t="inlineStr">
        <is>
          <t>I3</t>
        </is>
      </c>
      <c r="B16" t="inlineStr">
        <is>
          <t>Tidak ada kabel terbuka/terjepit</t>
        </is>
      </c>
    </row>
    <row r="17">
      <c r="A17" t="inlineStr">
        <is>
          <t>I4</t>
        </is>
      </c>
      <c r="B17" t="inlineStr">
        <is>
          <t>Tombol STOP merah berfungsi</t>
        </is>
      </c>
    </row>
    <row r="18">
      <c r="A18" t="inlineStr">
        <is>
          <t>I5</t>
        </is>
      </c>
      <c r="B18" t="inlineStr">
        <is>
          <t>Selesai dalam batas 2 jam</t>
        </is>
      </c>
    </row>
    <row r="19">
      <c r="A19" t="inlineStr">
        <is>
          <t>I6</t>
        </is>
      </c>
      <c r="B19" t="inlineStr">
        <is>
          <t>Robot aman dioperasikan (K3)</t>
        </is>
      </c>
    </row>
  </sheetData>
  <mergeCells count="2">
    <mergeCell ref="A1:J1"/>
    <mergeCell ref="A2:J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8" customWidth="1" min="4" max="4"/>
    <col width="12" customWidth="1" min="5" max="5"/>
    <col width="10" customWidth="1" min="6" max="6"/>
    <col width="24" customWidth="1" min="7" max="7"/>
  </cols>
  <sheetData>
    <row r="1">
      <c r="A1" s="1" t="inlineStr">
        <is>
          <t>MODUL D — Gerakan Dasar &amp; Manajemen Objek (12 poin, Measurement)</t>
        </is>
      </c>
    </row>
    <row r="2" ht="18" customHeight="1">
      <c r="A2" s="4" t="inlineStr">
        <is>
          <t>Bingung cara nilai Modul D?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Tanggal:</t>
        </is>
      </c>
    </row>
    <row r="4">
      <c r="A4" t="inlineStr">
        <is>
          <t>Juri Penilai:</t>
        </is>
      </c>
    </row>
    <row r="6">
      <c r="A6" s="5" t="inlineStr">
        <is>
          <t>ID</t>
        </is>
      </c>
      <c r="B6" s="5" t="inlineStr">
        <is>
          <t>Evaluasi</t>
        </is>
      </c>
      <c r="C6" s="5" t="inlineStr">
        <is>
          <t>Indikator</t>
        </is>
      </c>
      <c r="D6" s="5" t="inlineStr">
        <is>
          <t>Bobot</t>
        </is>
      </c>
      <c r="E6" s="5" t="inlineStr">
        <is>
          <t>Hasil (1/0)</t>
        </is>
      </c>
      <c r="F6" s="5" t="inlineStr">
        <is>
          <t>Skor</t>
        </is>
      </c>
      <c r="G6" s="5" t="inlineStr">
        <is>
          <t>Catatan</t>
        </is>
      </c>
    </row>
    <row r="7">
      <c r="A7" t="inlineStr">
        <is>
          <t>D1a</t>
        </is>
      </c>
      <c r="B7" t="inlineStr">
        <is>
          <t>Gerak maju 200-300 mm</t>
        </is>
      </c>
      <c r="C7" t="inlineStr">
        <is>
          <t>Observasi</t>
        </is>
      </c>
      <c r="D7" t="n">
        <v>0.5</v>
      </c>
      <c r="F7">
        <f>IF(E7="",0,E7*D7)</f>
        <v/>
      </c>
    </row>
    <row r="8">
      <c r="A8" t="inlineStr">
        <is>
          <t>D1b</t>
        </is>
      </c>
      <c r="B8" t="inlineStr">
        <is>
          <t>Gerak mundur 200-300 mm</t>
        </is>
      </c>
      <c r="C8" t="inlineStr">
        <is>
          <t>Observasi</t>
        </is>
      </c>
      <c r="D8" t="n">
        <v>0.5</v>
      </c>
      <c r="F8">
        <f>IF(E8="",0,E8*D8)</f>
        <v/>
      </c>
    </row>
    <row r="9">
      <c r="A9" t="inlineStr">
        <is>
          <t>D1c</t>
        </is>
      </c>
      <c r="B9" t="inlineStr">
        <is>
          <t>Gerak kanan 200-300 mm</t>
        </is>
      </c>
      <c r="C9" t="inlineStr">
        <is>
          <t>Observasi</t>
        </is>
      </c>
      <c r="D9" t="n">
        <v>0.5</v>
      </c>
      <c r="F9">
        <f>IF(E9="",0,E9*D9)</f>
        <v/>
      </c>
    </row>
    <row r="10">
      <c r="A10" t="inlineStr">
        <is>
          <t>D1d</t>
        </is>
      </c>
      <c r="B10" t="inlineStr">
        <is>
          <t>Gerak kiri 200-300 mm</t>
        </is>
      </c>
      <c r="C10" t="inlineStr">
        <is>
          <t>Observasi</t>
        </is>
      </c>
      <c r="D10" t="n">
        <v>0.5</v>
      </c>
      <c r="F10">
        <f>IF(E10="",0,E10*D10)</f>
        <v/>
      </c>
    </row>
    <row r="11">
      <c r="A11" t="inlineStr">
        <is>
          <t>D2a</t>
        </is>
      </c>
      <c r="B11" t="inlineStr">
        <is>
          <t>Maju stop 50-100 mm dari dinding</t>
        </is>
      </c>
      <c r="C11" t="inlineStr">
        <is>
          <t>Observasi</t>
        </is>
      </c>
      <c r="D11" t="n">
        <v>0.3</v>
      </c>
      <c r="F11">
        <f>IF(E11="",0,E11*D11)</f>
        <v/>
      </c>
    </row>
    <row r="12">
      <c r="A12" t="inlineStr">
        <is>
          <t>D2b</t>
        </is>
      </c>
      <c r="B12" t="inlineStr">
        <is>
          <t>Kanan stop 50-100 mm dari dinding</t>
        </is>
      </c>
      <c r="C12" t="inlineStr">
        <is>
          <t>Observasi</t>
        </is>
      </c>
      <c r="D12" t="n">
        <v>0.6</v>
      </c>
      <c r="F12">
        <f>IF(E12="",0,E12*D12)</f>
        <v/>
      </c>
    </row>
    <row r="13">
      <c r="A13" t="inlineStr">
        <is>
          <t>D3</t>
        </is>
      </c>
      <c r="B13" t="inlineStr">
        <is>
          <t>Ikuti garis U</t>
        </is>
      </c>
      <c r="C13" t="inlineStr">
        <is>
          <t>Line follower</t>
        </is>
      </c>
      <c r="D13" t="n">
        <v>1</v>
      </c>
      <c r="F13">
        <f>IF(E13="",0,E13*D13)</f>
        <v/>
      </c>
    </row>
    <row r="14">
      <c r="A14" t="inlineStr">
        <is>
          <t>D4</t>
        </is>
      </c>
      <c r="B14" t="inlineStr">
        <is>
          <t>Deteksi merah → teks merah</t>
        </is>
      </c>
      <c r="C14" t="inlineStr">
        <is>
          <t>Monitor</t>
        </is>
      </c>
      <c r="D14" t="n">
        <v>1</v>
      </c>
      <c r="F14">
        <f>IF(E14="",0,E14*D14)</f>
        <v/>
      </c>
    </row>
    <row r="15">
      <c r="A15" t="inlineStr">
        <is>
          <t>D5</t>
        </is>
      </c>
      <c r="B15" t="inlineStr">
        <is>
          <t>Deteksi hijau → teks hijau</t>
        </is>
      </c>
      <c r="C15" t="inlineStr">
        <is>
          <t>Monitor</t>
        </is>
      </c>
      <c r="D15" t="n">
        <v>1</v>
      </c>
      <c r="F15">
        <f>IF(E15="",0,E15*D15)</f>
        <v/>
      </c>
    </row>
    <row r="16">
      <c r="A16" t="inlineStr">
        <is>
          <t>D6</t>
        </is>
      </c>
      <c r="B16" t="inlineStr">
        <is>
          <t>Deteksi biru → teks biru</t>
        </is>
      </c>
      <c r="C16" t="inlineStr">
        <is>
          <t>Monitor</t>
        </is>
      </c>
      <c r="D16" t="n">
        <v>1</v>
      </c>
      <c r="F16">
        <f>IF(E16="",0,E16*D16)</f>
        <v/>
      </c>
    </row>
    <row r="17">
      <c r="A17" t="inlineStr">
        <is>
          <t>D7</t>
        </is>
      </c>
      <c r="B17" t="inlineStr">
        <is>
          <t>Deteksi O-merah</t>
        </is>
      </c>
      <c r="C17" t="inlineStr">
        <is>
          <t>Monitor</t>
        </is>
      </c>
      <c r="D17" t="n">
        <v>1</v>
      </c>
      <c r="F17">
        <f>IF(E17="",0,E17*D17)</f>
        <v/>
      </c>
    </row>
    <row r="18">
      <c r="A18" t="inlineStr">
        <is>
          <t>D8</t>
        </is>
      </c>
      <c r="B18" t="inlineStr">
        <is>
          <t>Deteksi O-hijau</t>
        </is>
      </c>
      <c r="C18" t="inlineStr">
        <is>
          <t>Monitor</t>
        </is>
      </c>
      <c r="D18" t="n">
        <v>1</v>
      </c>
      <c r="F18">
        <f>IF(E18="",0,E18*D18)</f>
        <v/>
      </c>
    </row>
    <row r="19">
      <c r="A19" t="inlineStr">
        <is>
          <t>D9</t>
        </is>
      </c>
      <c r="B19" t="inlineStr">
        <is>
          <t>Pick kubus dari rak otonom</t>
        </is>
      </c>
      <c r="C19" t="inlineStr">
        <is>
          <t>Observasi arm</t>
        </is>
      </c>
      <c r="D19" t="n">
        <v>2</v>
      </c>
      <c r="F19">
        <f>IF(E19="",0,E19*D19)</f>
        <v/>
      </c>
    </row>
    <row r="20">
      <c r="A20" t="inlineStr">
        <is>
          <t>D10</t>
        </is>
      </c>
      <c r="B20" t="inlineStr">
        <is>
          <t>Place kubus ke standbox</t>
        </is>
      </c>
      <c r="C20" t="inlineStr">
        <is>
          <t>Observasi arm</t>
        </is>
      </c>
      <c r="D20" t="n">
        <v>2</v>
      </c>
      <c r="F20">
        <f>IF(E20="",0,E20*D20)</f>
        <v/>
      </c>
    </row>
    <row r="21">
      <c r="B21" s="7" t="inlineStr">
        <is>
          <t>TOTAL (skala 12)</t>
        </is>
      </c>
      <c r="D21" t="n">
        <v>12</v>
      </c>
      <c r="F21">
        <f>ROUND(SUM(F7:F20)*12/12.9,2)</f>
        <v/>
      </c>
      <c r="G21" t="inlineStr">
        <is>
          <t>Bobot mentah item = 12.9</t>
        </is>
      </c>
    </row>
  </sheetData>
  <mergeCells count="2">
    <mergeCell ref="A2:G2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LEMBAR UNDIAN POSISI KUBUS — LKS 2026</t>
        </is>
      </c>
    </row>
    <row r="2" ht="18" customHeight="1">
      <c r="A2" s="4" t="inlineStr">
        <is>
          <t>Bingung cara isi? Buka panduan Undian Kubus di GitHub (klik di sini)</t>
        </is>
      </c>
    </row>
    <row r="3">
      <c r="A3" s="7" t="inlineStr">
        <is>
          <t>Run ID:</t>
        </is>
      </c>
      <c r="B3" t="inlineStr">
        <is>
          <t>RUN-01</t>
        </is>
      </c>
      <c r="D3" s="7" t="inlineStr">
        <is>
          <t>Tim No:</t>
        </is>
      </c>
      <c r="E3" t="inlineStr">
        <is>
          <t>05</t>
        </is>
      </c>
      <c r="G3" s="7" t="inlineStr">
        <is>
          <t>Nama Tim:</t>
        </is>
      </c>
      <c r="H3" t="inlineStr">
        <is>
          <t>SMK Contoh</t>
        </is>
      </c>
    </row>
    <row r="4">
      <c r="A4" s="7" t="inlineStr">
        <is>
          <t>Hari:</t>
        </is>
      </c>
      <c r="B4" t="inlineStr">
        <is>
          <t>H2</t>
        </is>
      </c>
      <c r="D4" s="7" t="inlineStr">
        <is>
          <t>Tanggal:</t>
        </is>
      </c>
      <c r="E4" t="inlineStr">
        <is>
          <t>24/06/2026</t>
        </is>
      </c>
      <c r="G4" s="7" t="inlineStr">
        <is>
          <t>Arena No:</t>
        </is>
      </c>
      <c r="H4" t="inlineStr">
        <is>
          <t>2</t>
        </is>
      </c>
    </row>
    <row r="5">
      <c r="A5" s="7" t="inlineStr">
        <is>
          <t>Fase:</t>
        </is>
      </c>
      <c r="B5" t="inlineStr">
        <is>
          <t>Trial</t>
        </is>
      </c>
      <c r="D5" s="7" t="inlineStr">
        <is>
          <t>Juru Acak:</t>
        </is>
      </c>
      <c r="G5" s="7" t="inlineStr">
        <is>
          <t>Juri Saksi:</t>
        </is>
      </c>
    </row>
    <row r="6">
      <c r="A6" s="7" t="inlineStr">
        <is>
          <t>Waktu Undian:</t>
        </is>
      </c>
    </row>
    <row r="8">
      <c r="A8" s="8" t="inlineStr">
        <is>
          <t>KATALOG KUBUS (referensi — 9 buah)</t>
        </is>
      </c>
    </row>
    <row r="9">
      <c r="A9" s="5" t="inlineStr">
        <is>
          <t>ID Kubus</t>
        </is>
      </c>
      <c r="B9" s="5" t="inlineStr">
        <is>
          <t>Warna</t>
        </is>
      </c>
      <c r="C9" s="5" t="inlineStr">
        <is>
          <t>Bentuk</t>
        </is>
      </c>
      <c r="D9" s="5" t="inlineStr">
        <is>
          <t>RGB</t>
        </is>
      </c>
    </row>
    <row r="10">
      <c r="A10" t="inlineStr">
        <is>
          <t>K-M1</t>
        </is>
      </c>
      <c r="B10" t="inlineStr">
        <is>
          <t>Merah</t>
        </is>
      </c>
      <c r="C10" t="inlineStr">
        <is>
          <t>Lingkaran</t>
        </is>
      </c>
      <c r="D10" t="inlineStr">
        <is>
          <t>255-0-0</t>
        </is>
      </c>
    </row>
    <row r="11">
      <c r="A11" t="inlineStr">
        <is>
          <t>K-M2</t>
        </is>
      </c>
      <c r="B11" t="inlineStr">
        <is>
          <t>Merah</t>
        </is>
      </c>
      <c r="C11" t="inlineStr">
        <is>
          <t>Persegi</t>
        </is>
      </c>
      <c r="D11" t="inlineStr">
        <is>
          <t>255-0-0</t>
        </is>
      </c>
    </row>
    <row r="12">
      <c r="A12" t="inlineStr">
        <is>
          <t>K-M3</t>
        </is>
      </c>
      <c r="B12" t="inlineStr">
        <is>
          <t>Merah</t>
        </is>
      </c>
      <c r="C12" t="inlineStr">
        <is>
          <t>Segitiga</t>
        </is>
      </c>
      <c r="D12" t="inlineStr">
        <is>
          <t>255-0-0</t>
        </is>
      </c>
    </row>
    <row r="13">
      <c r="A13" t="inlineStr">
        <is>
          <t>K-H1</t>
        </is>
      </c>
      <c r="B13" t="inlineStr">
        <is>
          <t>Hijau</t>
        </is>
      </c>
      <c r="C13" t="inlineStr">
        <is>
          <t>Lingkaran</t>
        </is>
      </c>
      <c r="D13" t="inlineStr">
        <is>
          <t>0-255-0</t>
        </is>
      </c>
    </row>
    <row r="14">
      <c r="A14" t="inlineStr">
        <is>
          <t>K-H2</t>
        </is>
      </c>
      <c r="B14" t="inlineStr">
        <is>
          <t>Hijau</t>
        </is>
      </c>
      <c r="C14" t="inlineStr">
        <is>
          <t>Persegi</t>
        </is>
      </c>
      <c r="D14" t="inlineStr">
        <is>
          <t>0-255-0</t>
        </is>
      </c>
    </row>
    <row r="15">
      <c r="A15" t="inlineStr">
        <is>
          <t>K-H3</t>
        </is>
      </c>
      <c r="B15" t="inlineStr">
        <is>
          <t>Hijau</t>
        </is>
      </c>
      <c r="C15" t="inlineStr">
        <is>
          <t>Segitiga</t>
        </is>
      </c>
      <c r="D15" t="inlineStr">
        <is>
          <t>0-255-0</t>
        </is>
      </c>
    </row>
    <row r="16">
      <c r="A16" t="inlineStr">
        <is>
          <t>K-B1</t>
        </is>
      </c>
      <c r="B16" t="inlineStr">
        <is>
          <t>Biru</t>
        </is>
      </c>
      <c r="C16" t="inlineStr">
        <is>
          <t>Lingkaran</t>
        </is>
      </c>
      <c r="D16" t="inlineStr">
        <is>
          <t>0-0-255</t>
        </is>
      </c>
    </row>
    <row r="17">
      <c r="A17" t="inlineStr">
        <is>
          <t>K-B2</t>
        </is>
      </c>
      <c r="B17" t="inlineStr">
        <is>
          <t>Biru</t>
        </is>
      </c>
      <c r="C17" t="inlineStr">
        <is>
          <t>Persegi</t>
        </is>
      </c>
      <c r="D17" t="inlineStr">
        <is>
          <t>0-0-255</t>
        </is>
      </c>
    </row>
    <row r="18">
      <c r="A18" t="inlineStr">
        <is>
          <t>K-B3</t>
        </is>
      </c>
      <c r="B18" t="inlineStr">
        <is>
          <t>Biru</t>
        </is>
      </c>
      <c r="C18" t="inlineStr">
        <is>
          <t>Segitiga</t>
        </is>
      </c>
      <c r="D18" t="inlineStr">
        <is>
          <t>0-0-255</t>
        </is>
      </c>
    </row>
    <row r="20" ht="28" customHeight="1">
      <c r="A20" s="9" t="inlineStr">
        <is>
          <t>KONFIGURASI MARKER RAK — isi warna di baris 24 (ketik: Merah / Hijau / Biru)</t>
        </is>
      </c>
    </row>
    <row r="21" ht="42" customHeight="1">
      <c r="A21" s="10" t="inlineStr">
        <is>
          <t>KETERANGAN: R1–R3 = Rak 1–3 di arena (3 buah rak, masing-masing 3 slot). S1/S2/S3 = Slot kiri / tengah / kanan (dilihat dari depan rak). Marker = warna label di ATAS slot — kubus sukses jika ditaruh di slot yang marker-nya sama warnanya dengan kubus.</t>
        </is>
      </c>
    </row>
    <row r="22">
      <c r="A22" s="11" t="inlineStr">
        <is>
          <t>▼ RAK 1</t>
        </is>
      </c>
      <c r="D22" s="11" t="inlineStr">
        <is>
          <t>▼ RAK 2</t>
        </is>
      </c>
      <c r="G22" s="11" t="inlineStr">
        <is>
          <t>▼ RAK 3</t>
        </is>
      </c>
    </row>
    <row r="23">
      <c r="A23" s="5" t="inlineStr">
        <is>
          <t>Rak1 · kiri</t>
        </is>
      </c>
      <c r="B23" s="5" t="inlineStr">
        <is>
          <t>Rak1 · tengah</t>
        </is>
      </c>
      <c r="C23" s="5" t="inlineStr">
        <is>
          <t>Rak1 · kanan</t>
        </is>
      </c>
      <c r="D23" s="5" t="inlineStr">
        <is>
          <t>Rak2 · kiri</t>
        </is>
      </c>
      <c r="E23" s="5" t="inlineStr">
        <is>
          <t>Rak2 · tengah</t>
        </is>
      </c>
      <c r="F23" s="5" t="inlineStr">
        <is>
          <t>Rak2 · kanan</t>
        </is>
      </c>
      <c r="G23" s="5" t="inlineStr">
        <is>
          <t>Rak3 · kiri</t>
        </is>
      </c>
      <c r="H23" s="5" t="inlineStr">
        <is>
          <t>Rak3 · tengah</t>
        </is>
      </c>
      <c r="I23" s="5" t="inlineStr">
        <is>
          <t>Rak3 · kanan</t>
        </is>
      </c>
    </row>
    <row r="24">
      <c r="A24" s="12" t="inlineStr">
        <is>
          <t>Merah</t>
        </is>
      </c>
      <c r="B24" s="12" t="inlineStr">
        <is>
          <t>Hijau</t>
        </is>
      </c>
      <c r="C24" s="12" t="inlineStr">
        <is>
          <t>Biru</t>
        </is>
      </c>
      <c r="D24" s="12" t="inlineStr">
        <is>
          <t>Biru</t>
        </is>
      </c>
      <c r="E24" s="12" t="inlineStr">
        <is>
          <t>Merah</t>
        </is>
      </c>
      <c r="F24" s="12" t="inlineStr">
        <is>
          <t>Hijau</t>
        </is>
      </c>
      <c r="G24" s="12" t="inlineStr">
        <is>
          <t>Hijau</t>
        </is>
      </c>
      <c r="H24" s="12" t="inlineStr">
        <is>
          <t>Biru</t>
        </is>
      </c>
      <c r="I24" s="12" t="inlineStr">
        <is>
          <t>Merah</t>
        </is>
      </c>
    </row>
    <row r="25">
      <c r="A25" s="8" t="inlineStr">
        <is>
          <t>POSISI AWAL SETELAH UNDIAN (isi ID kubus — kolom lain otomatis)</t>
        </is>
      </c>
    </row>
    <row r="27">
      <c r="A27" s="5" t="inlineStr">
        <is>
          <t>ID Kubus</t>
        </is>
      </c>
      <c r="B27" s="5" t="inlineStr">
        <is>
          <t>Warna</t>
        </is>
      </c>
      <c r="C27" s="5" t="inlineStr">
        <is>
          <t>Bentuk</t>
        </is>
      </c>
      <c r="D27" s="5" t="inlineStr">
        <is>
          <t>Lokasi Awal</t>
        </is>
      </c>
      <c r="E27" s="5" t="inlineStr">
        <is>
          <t>Rak/Stand</t>
        </is>
      </c>
      <c r="F27" s="5" t="inlineStr">
        <is>
          <t>Slot</t>
        </is>
      </c>
      <c r="G27" s="5" t="inlineStr">
        <is>
          <t>Sudah Benar (1/0)</t>
        </is>
      </c>
      <c r="H27" s="5" t="inlineStr">
        <is>
          <t>Target Rak</t>
        </is>
      </c>
      <c r="I27" s="5" t="inlineStr">
        <is>
          <t>Target Marker</t>
        </is>
      </c>
      <c r="J27" s="5" t="inlineStr">
        <is>
          <t>Perlu Dipindah?</t>
        </is>
      </c>
      <c r="K27" s="5" t="inlineStr">
        <is>
          <t>Catatan</t>
        </is>
      </c>
    </row>
    <row r="28">
      <c r="A28" t="inlineStr">
        <is>
          <t>K-M1</t>
        </is>
      </c>
      <c r="B28">
        <f>IF(A28="","",VLOOKUP(A28,'Undian Kubus'!$A$10:$D$18,2,FALSE))</f>
        <v/>
      </c>
      <c r="C28">
        <f>IF(A28="","",VLOOKUP(A28,'Undian Kubus'!$A$10:$D$18,3,FALSE))</f>
        <v/>
      </c>
      <c r="D28">
        <f>IF(A28="","",IF(E28="","(belum diisi — isi kolom E &amp; F)",TRIM(E28&amp;IF(F28&lt;&gt;""," — "&amp;F28,""))))</f>
        <v/>
      </c>
      <c r="E28" t="inlineStr">
        <is>
          <t>Rak 1</t>
        </is>
      </c>
      <c r="F28" t="inlineStr">
        <is>
          <t>kiri</t>
        </is>
      </c>
      <c r="G28">
        <f>IF(OR(A28="",E28="",F28=""),"",IF(OR(AND(OR(E28="Rak 1",E28="R1"),OR(LOWER(F28)="kiri",LOWER(F28)="s1",LOWER(F28)="r1-s1"),$A$24=B28),AND(OR(E28="Rak 1",E28="R1"),OR(LOWER(F28)="tengah",LOWER(F28)="s2",LOWER(F28)="r1-s2"),$B$24=B28),AND(OR(E28="Rak 1",E28="R1"),OR(LOWER(F28)="kanan",LOWER(F28)="s3",LOWER(F28)="r1-s3"),$C$24=B28),AND(OR(E28="Rak 2",E28="R2"),OR(LOWER(F28)="kiri",LOWER(F28)="s1",LOWER(F28)="r2-s1"),$D$24=B28),AND(OR(E28="Rak 2",E28="R2"),OR(LOWER(F28)="tengah",LOWER(F28)="s2",LOWER(F28)="r2-s2"),$E$24=B28),AND(OR(E28="Rak 2",E28="R2"),OR(LOWER(F28)="kanan",LOWER(F28)="s3",LOWER(F28)="r2-s3"),$F$24=B28),AND(OR(E28="Rak 3",E28="R3"),OR(LOWER(F28)="kiri",LOWER(F28)="s1",LOWER(F28)="r3-s1"),$G$24=B28),AND(OR(E28="Rak 3",E28="R3"),OR(LOWER(F28)="tengah",LOWER(F28)="s2",LOWER(F28)="r3-s2"),$H$24=B28),AND(OR(E28="Rak 3",E28="R3"),OR(LOWER(F28)="kanan",LOWER(F28)="s3",LOWER(F28)="r3-s3"),$I$24=B28)),1,0))</f>
        <v/>
      </c>
      <c r="H28">
        <f>IF(B28="","",IF(COUNTA($A$24:$I$24)=0,"(isi warna marker baris 24)",IF(IF(COUNTIF($A$24:$C$24,B28)&gt;0,"Rak 1, ","")&amp;IF(COUNTIF($D$24:$F$24,B28)&gt;0,"Rak 2, ","")&amp;IF(COUNTIF($G$24:$I$24,B28)&gt;0,"Rak 3, ","")="","",IF(LEN(IF(COUNTIF($A$24:$C$24,B28)&gt;0,"Rak 1, ","")&amp;IF(COUNTIF($D$24:$F$24,B28)&gt;0,"Rak 2, ","")&amp;IF(COUNTIF($G$24:$I$24,B28)&gt;0,"Rak 3, ",""))&gt;2,LEFT(IF(COUNTIF($A$24:$C$24,B28)&gt;0,"Rak 1, ","")&amp;IF(COUNTIF($D$24:$F$24,B28)&gt;0,"Rak 2, ","")&amp;IF(COUNTIF($G$24:$I$24,B28)&gt;0,"Rak 3, ",""),LEN(IF(COUNTIF($A$24:$C$24,B28)&gt;0,"Rak 1, ","")&amp;IF(COUNTIF($D$24:$F$24,B28)&gt;0,"Rak 2, ","")&amp;IF(COUNTIF($G$24:$I$24,B28)&gt;0,"Rak 3, ",""))-2),IF(COUNTIF($A$24:$C$24,B28)&gt;0,"Rak 1, ","")&amp;IF(COUNTIF($D$24:$F$24,B28)&gt;0,"Rak 2, ","")&amp;IF(COUNTIF($G$24:$I$24,B28)&gt;0,"Rak 3, ","")))))</f>
        <v/>
      </c>
      <c r="I28">
        <f>IF(B28="","",IF(COUNTA($A$24:$I$24)=0,"(isi warna marker baris 24)",IF(IF(IF($A$24=B28,"R1-S1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","")="","",IF(LEN(IF($A$24=B28,"R1-S1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",""))&gt;2,LEFT(IF($A$24=B28,"R1-S1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",""),LEN(IF($A$24=B28,"R1-S1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",""))-2),IF($A$24=B28,"R1-S1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","")))="","","Slot marker "&amp;B28&amp;": "&amp;IF(IF($A$24=B28,"R1-S1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","")="","",IF(LEN(IF($A$24=B28,"R1-S1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",""))&gt;2,LEFT(IF($A$24=B28,"R1-S1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",""),LEN(IF($A$24=B28,"R1-S1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",""))-2),IF($A$24=B28,"R1-S1 (Rak1 kiri), ","")&amp;IF($B$24=B28,"R1-S2 (Rak1 tengah), ","")&amp;IF($C$24=B28,"R1-S3 (Rak1 kanan), ","")&amp;IF($D$24=B28,"R2-S1 (Rak2 kiri), ","")&amp;IF($E$24=B28,"R2-S2 (Rak2 tengah), ","")&amp;IF($F$24=B28,"R2-S3 (Rak2 kanan), ","")&amp;IF($G$24=B28,"R3-S1 (Rak3 kiri), ","")&amp;IF($H$24=B28,"R3-S2 (Rak3 tengah), ","")&amp;IF($I$24=B28,"R3-S3 (Rak3 kanan), ",""))))))</f>
        <v/>
      </c>
      <c r="J28">
        <f>IF(G28="","",IF(G28=1,0,1))</f>
        <v/>
      </c>
    </row>
    <row r="29">
      <c r="A29" t="inlineStr">
        <is>
          <t>K-M2</t>
        </is>
      </c>
      <c r="B29">
        <f>IF(A29="","",VLOOKUP(A29,'Undian Kubus'!$A$10:$D$18,2,FALSE))</f>
        <v/>
      </c>
      <c r="C29">
        <f>IF(A29="","",VLOOKUP(A29,'Undian Kubus'!$A$10:$D$18,3,FALSE))</f>
        <v/>
      </c>
      <c r="D29">
        <f>IF(A29="","",IF(E29="","(belum diisi — isi kolom E &amp; F)",TRIM(E29&amp;IF(F29&lt;&gt;""," — "&amp;F29,""))))</f>
        <v/>
      </c>
      <c r="E29" t="inlineStr">
        <is>
          <t>Stand A</t>
        </is>
      </c>
      <c r="F29" t="inlineStr">
        <is>
          <t>depan</t>
        </is>
      </c>
      <c r="G29">
        <f>IF(OR(A29="",E29="",F29=""),"",IF(OR(AND(OR(E29="Rak 1",E29="R1"),OR(LOWER(F29)="kiri",LOWER(F29)="s1",LOWER(F29)="r1-s1"),$A$24=B29),AND(OR(E29="Rak 1",E29="R1"),OR(LOWER(F29)="tengah",LOWER(F29)="s2",LOWER(F29)="r1-s2"),$B$24=B29),AND(OR(E29="Rak 1",E29="R1"),OR(LOWER(F29)="kanan",LOWER(F29)="s3",LOWER(F29)="r1-s3"),$C$24=B29),AND(OR(E29="Rak 2",E29="R2"),OR(LOWER(F29)="kiri",LOWER(F29)="s1",LOWER(F29)="r2-s1"),$D$24=B29),AND(OR(E29="Rak 2",E29="R2"),OR(LOWER(F29)="tengah",LOWER(F29)="s2",LOWER(F29)="r2-s2"),$E$24=B29),AND(OR(E29="Rak 2",E29="R2"),OR(LOWER(F29)="kanan",LOWER(F29)="s3",LOWER(F29)="r2-s3"),$F$24=B29),AND(OR(E29="Rak 3",E29="R3"),OR(LOWER(F29)="kiri",LOWER(F29)="s1",LOWER(F29)="r3-s1"),$G$24=B29),AND(OR(E29="Rak 3",E29="R3"),OR(LOWER(F29)="tengah",LOWER(F29)="s2",LOWER(F29)="r3-s2"),$H$24=B29),AND(OR(E29="Rak 3",E29="R3"),OR(LOWER(F29)="kanan",LOWER(F29)="s3",LOWER(F29)="r3-s3"),$I$24=B29)),1,0))</f>
        <v/>
      </c>
      <c r="H29">
        <f>IF(B29="","",IF(COUNTA($A$24:$I$24)=0,"(isi warna marker baris 24)",IF(IF(COUNTIF($A$24:$C$24,B29)&gt;0,"Rak 1, ","")&amp;IF(COUNTIF($D$24:$F$24,B29)&gt;0,"Rak 2, ","")&amp;IF(COUNTIF($G$24:$I$24,B29)&gt;0,"Rak 3, ","")="","",IF(LEN(IF(COUNTIF($A$24:$C$24,B29)&gt;0,"Rak 1, ","")&amp;IF(COUNTIF($D$24:$F$24,B29)&gt;0,"Rak 2, ","")&amp;IF(COUNTIF($G$24:$I$24,B29)&gt;0,"Rak 3, ",""))&gt;2,LEFT(IF(COUNTIF($A$24:$C$24,B29)&gt;0,"Rak 1, ","")&amp;IF(COUNTIF($D$24:$F$24,B29)&gt;0,"Rak 2, ","")&amp;IF(COUNTIF($G$24:$I$24,B29)&gt;0,"Rak 3, ",""),LEN(IF(COUNTIF($A$24:$C$24,B29)&gt;0,"Rak 1, ","")&amp;IF(COUNTIF($D$24:$F$24,B29)&gt;0,"Rak 2, ","")&amp;IF(COUNTIF($G$24:$I$24,B29)&gt;0,"Rak 3, ",""))-2),IF(COUNTIF($A$24:$C$24,B29)&gt;0,"Rak 1, ","")&amp;IF(COUNTIF($D$24:$F$24,B29)&gt;0,"Rak 2, ","")&amp;IF(COUNTIF($G$24:$I$24,B29)&gt;0,"Rak 3, ","")))))</f>
        <v/>
      </c>
      <c r="I29">
        <f>IF(B29="","",IF(COUNTA($A$24:$I$24)=0,"(isi warna marker baris 24)",IF(IF(IF($A$24=B29,"R1-S1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","")="","",IF(LEN(IF($A$24=B29,"R1-S1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",""))&gt;2,LEFT(IF($A$24=B29,"R1-S1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",""),LEN(IF($A$24=B29,"R1-S1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",""))-2),IF($A$24=B29,"R1-S1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","")))="","","Slot marker "&amp;B29&amp;": "&amp;IF(IF($A$24=B29,"R1-S1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","")="","",IF(LEN(IF($A$24=B29,"R1-S1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",""))&gt;2,LEFT(IF($A$24=B29,"R1-S1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",""),LEN(IF($A$24=B29,"R1-S1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",""))-2),IF($A$24=B29,"R1-S1 (Rak1 kiri), ","")&amp;IF($B$24=B29,"R1-S2 (Rak1 tengah), ","")&amp;IF($C$24=B29,"R1-S3 (Rak1 kanan), ","")&amp;IF($D$24=B29,"R2-S1 (Rak2 kiri), ","")&amp;IF($E$24=B29,"R2-S2 (Rak2 tengah), ","")&amp;IF($F$24=B29,"R2-S3 (Rak2 kanan), ","")&amp;IF($G$24=B29,"R3-S1 (Rak3 kiri), ","")&amp;IF($H$24=B29,"R3-S2 (Rak3 tengah), ","")&amp;IF($I$24=B29,"R3-S3 (Rak3 kanan), ",""))))))</f>
        <v/>
      </c>
      <c r="J29">
        <f>IF(G29="","",IF(G29=1,0,1))</f>
        <v/>
      </c>
    </row>
    <row r="30">
      <c r="A30" t="inlineStr">
        <is>
          <t>K-M3</t>
        </is>
      </c>
      <c r="B30">
        <f>IF(A30="","",VLOOKUP(A30,'Undian Kubus'!$A$10:$D$18,2,FALSE))</f>
        <v/>
      </c>
      <c r="C30">
        <f>IF(A30="","",VLOOKUP(A30,'Undian Kubus'!$A$10:$D$18,3,FALSE))</f>
        <v/>
      </c>
      <c r="D30">
        <f>IF(A30="","",IF(E30="","(belum diisi — isi kolom E &amp; F)",TRIM(E30&amp;IF(F30&lt;&gt;""," — "&amp;F30,""))))</f>
        <v/>
      </c>
      <c r="E30" t="inlineStr">
        <is>
          <t>Rak 2</t>
        </is>
      </c>
      <c r="F30" t="inlineStr">
        <is>
          <t>tengah</t>
        </is>
      </c>
      <c r="G30">
        <f>IF(OR(A30="",E30="",F30=""),"",IF(OR(AND(OR(E30="Rak 1",E30="R1"),OR(LOWER(F30)="kiri",LOWER(F30)="s1",LOWER(F30)="r1-s1"),$A$24=B30),AND(OR(E30="Rak 1",E30="R1"),OR(LOWER(F30)="tengah",LOWER(F30)="s2",LOWER(F30)="r1-s2"),$B$24=B30),AND(OR(E30="Rak 1",E30="R1"),OR(LOWER(F30)="kanan",LOWER(F30)="s3",LOWER(F30)="r1-s3"),$C$24=B30),AND(OR(E30="Rak 2",E30="R2"),OR(LOWER(F30)="kiri",LOWER(F30)="s1",LOWER(F30)="r2-s1"),$D$24=B30),AND(OR(E30="Rak 2",E30="R2"),OR(LOWER(F30)="tengah",LOWER(F30)="s2",LOWER(F30)="r2-s2"),$E$24=B30),AND(OR(E30="Rak 2",E30="R2"),OR(LOWER(F30)="kanan",LOWER(F30)="s3",LOWER(F30)="r2-s3"),$F$24=B30),AND(OR(E30="Rak 3",E30="R3"),OR(LOWER(F30)="kiri",LOWER(F30)="s1",LOWER(F30)="r3-s1"),$G$24=B30),AND(OR(E30="Rak 3",E30="R3"),OR(LOWER(F30)="tengah",LOWER(F30)="s2",LOWER(F30)="r3-s2"),$H$24=B30),AND(OR(E30="Rak 3",E30="R3"),OR(LOWER(F30)="kanan",LOWER(F30)="s3",LOWER(F30)="r3-s3"),$I$24=B30)),1,0))</f>
        <v/>
      </c>
      <c r="H30">
        <f>IF(B30="","",IF(COUNTA($A$24:$I$24)=0,"(isi warna marker baris 24)",IF(IF(COUNTIF($A$24:$C$24,B30)&gt;0,"Rak 1, ","")&amp;IF(COUNTIF($D$24:$F$24,B30)&gt;0,"Rak 2, ","")&amp;IF(COUNTIF($G$24:$I$24,B30)&gt;0,"Rak 3, ","")="","",IF(LEN(IF(COUNTIF($A$24:$C$24,B30)&gt;0,"Rak 1, ","")&amp;IF(COUNTIF($D$24:$F$24,B30)&gt;0,"Rak 2, ","")&amp;IF(COUNTIF($G$24:$I$24,B30)&gt;0,"Rak 3, ",""))&gt;2,LEFT(IF(COUNTIF($A$24:$C$24,B30)&gt;0,"Rak 1, ","")&amp;IF(COUNTIF($D$24:$F$24,B30)&gt;0,"Rak 2, ","")&amp;IF(COUNTIF($G$24:$I$24,B30)&gt;0,"Rak 3, ",""),LEN(IF(COUNTIF($A$24:$C$24,B30)&gt;0,"Rak 1, ","")&amp;IF(COUNTIF($D$24:$F$24,B30)&gt;0,"Rak 2, ","")&amp;IF(COUNTIF($G$24:$I$24,B30)&gt;0,"Rak 3, ",""))-2),IF(COUNTIF($A$24:$C$24,B30)&gt;0,"Rak 1, ","")&amp;IF(COUNTIF($D$24:$F$24,B30)&gt;0,"Rak 2, ","")&amp;IF(COUNTIF($G$24:$I$24,B30)&gt;0,"Rak 3, ","")))))</f>
        <v/>
      </c>
      <c r="I30">
        <f>IF(B30="","",IF(COUNTA($A$24:$I$24)=0,"(isi warna marker baris 24)",IF(IF(IF($A$24=B30,"R1-S1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","")="","",IF(LEN(IF($A$24=B30,"R1-S1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",""))&gt;2,LEFT(IF($A$24=B30,"R1-S1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",""),LEN(IF($A$24=B30,"R1-S1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",""))-2),IF($A$24=B30,"R1-S1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","")))="","","Slot marker "&amp;B30&amp;": "&amp;IF(IF($A$24=B30,"R1-S1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","")="","",IF(LEN(IF($A$24=B30,"R1-S1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",""))&gt;2,LEFT(IF($A$24=B30,"R1-S1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",""),LEN(IF($A$24=B30,"R1-S1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",""))-2),IF($A$24=B30,"R1-S1 (Rak1 kiri), ","")&amp;IF($B$24=B30,"R1-S2 (Rak1 tengah), ","")&amp;IF($C$24=B30,"R1-S3 (Rak1 kanan), ","")&amp;IF($D$24=B30,"R2-S1 (Rak2 kiri), ","")&amp;IF($E$24=B30,"R2-S2 (Rak2 tengah), ","")&amp;IF($F$24=B30,"R2-S3 (Rak2 kanan), ","")&amp;IF($G$24=B30,"R3-S1 (Rak3 kiri), ","")&amp;IF($H$24=B30,"R3-S2 (Rak3 tengah), ","")&amp;IF($I$24=B30,"R3-S3 (Rak3 kanan), ",""))))))</f>
        <v/>
      </c>
      <c r="J30">
        <f>IF(G30="","",IF(G30=1,0,1))</f>
        <v/>
      </c>
    </row>
    <row r="31">
      <c r="A31" t="inlineStr">
        <is>
          <t>K-H1</t>
        </is>
      </c>
      <c r="B31">
        <f>IF(A31="","",VLOOKUP(A31,'Undian Kubus'!$A$10:$D$18,2,FALSE))</f>
        <v/>
      </c>
      <c r="C31">
        <f>IF(A31="","",VLOOKUP(A31,'Undian Kubus'!$A$10:$D$18,3,FALSE))</f>
        <v/>
      </c>
      <c r="D31">
        <f>IF(A31="","",IF(E31="","(belum diisi — isi kolom E &amp; F)",TRIM(E31&amp;IF(F31&lt;&gt;""," — "&amp;F31,""))))</f>
        <v/>
      </c>
      <c r="E31" t="inlineStr">
        <is>
          <t>Rak 3</t>
        </is>
      </c>
      <c r="F31" t="inlineStr">
        <is>
          <t>kiri</t>
        </is>
      </c>
      <c r="G31">
        <f>IF(OR(A31="",E31="",F31=""),"",IF(OR(AND(OR(E31="Rak 1",E31="R1"),OR(LOWER(F31)="kiri",LOWER(F31)="s1",LOWER(F31)="r1-s1"),$A$24=B31),AND(OR(E31="Rak 1",E31="R1"),OR(LOWER(F31)="tengah",LOWER(F31)="s2",LOWER(F31)="r1-s2"),$B$24=B31),AND(OR(E31="Rak 1",E31="R1"),OR(LOWER(F31)="kanan",LOWER(F31)="s3",LOWER(F31)="r1-s3"),$C$24=B31),AND(OR(E31="Rak 2",E31="R2"),OR(LOWER(F31)="kiri",LOWER(F31)="s1",LOWER(F31)="r2-s1"),$D$24=B31),AND(OR(E31="Rak 2",E31="R2"),OR(LOWER(F31)="tengah",LOWER(F31)="s2",LOWER(F31)="r2-s2"),$E$24=B31),AND(OR(E31="Rak 2",E31="R2"),OR(LOWER(F31)="kanan",LOWER(F31)="s3",LOWER(F31)="r2-s3"),$F$24=B31),AND(OR(E31="Rak 3",E31="R3"),OR(LOWER(F31)="kiri",LOWER(F31)="s1",LOWER(F31)="r3-s1"),$G$24=B31),AND(OR(E31="Rak 3",E31="R3"),OR(LOWER(F31)="tengah",LOWER(F31)="s2",LOWER(F31)="r3-s2"),$H$24=B31),AND(OR(E31="Rak 3",E31="R3"),OR(LOWER(F31)="kanan",LOWER(F31)="s3",LOWER(F31)="r3-s3"),$I$24=B31)),1,0))</f>
        <v/>
      </c>
      <c r="H31">
        <f>IF(B31="","",IF(COUNTA($A$24:$I$24)=0,"(isi warna marker baris 24)",IF(IF(COUNTIF($A$24:$C$24,B31)&gt;0,"Rak 1, ","")&amp;IF(COUNTIF($D$24:$F$24,B31)&gt;0,"Rak 2, ","")&amp;IF(COUNTIF($G$24:$I$24,B31)&gt;0,"Rak 3, ","")="","",IF(LEN(IF(COUNTIF($A$24:$C$24,B31)&gt;0,"Rak 1, ","")&amp;IF(COUNTIF($D$24:$F$24,B31)&gt;0,"Rak 2, ","")&amp;IF(COUNTIF($G$24:$I$24,B31)&gt;0,"Rak 3, ",""))&gt;2,LEFT(IF(COUNTIF($A$24:$C$24,B31)&gt;0,"Rak 1, ","")&amp;IF(COUNTIF($D$24:$F$24,B31)&gt;0,"Rak 2, ","")&amp;IF(COUNTIF($G$24:$I$24,B31)&gt;0,"Rak 3, ",""),LEN(IF(COUNTIF($A$24:$C$24,B31)&gt;0,"Rak 1, ","")&amp;IF(COUNTIF($D$24:$F$24,B31)&gt;0,"Rak 2, ","")&amp;IF(COUNTIF($G$24:$I$24,B31)&gt;0,"Rak 3, ",""))-2),IF(COUNTIF($A$24:$C$24,B31)&gt;0,"Rak 1, ","")&amp;IF(COUNTIF($D$24:$F$24,B31)&gt;0,"Rak 2, ","")&amp;IF(COUNTIF($G$24:$I$24,B31)&gt;0,"Rak 3, ","")))))</f>
        <v/>
      </c>
      <c r="I31">
        <f>IF(B31="","",IF(COUNTA($A$24:$I$24)=0,"(isi warna marker baris 24)",IF(IF(IF($A$24=B31,"R1-S1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","")="","",IF(LEN(IF($A$24=B31,"R1-S1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",""))&gt;2,LEFT(IF($A$24=B31,"R1-S1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",""),LEN(IF($A$24=B31,"R1-S1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",""))-2),IF($A$24=B31,"R1-S1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","")))="","","Slot marker "&amp;B31&amp;": "&amp;IF(IF($A$24=B31,"R1-S1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","")="","",IF(LEN(IF($A$24=B31,"R1-S1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",""))&gt;2,LEFT(IF($A$24=B31,"R1-S1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",""),LEN(IF($A$24=B31,"R1-S1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",""))-2),IF($A$24=B31,"R1-S1 (Rak1 kiri), ","")&amp;IF($B$24=B31,"R1-S2 (Rak1 tengah), ","")&amp;IF($C$24=B31,"R1-S3 (Rak1 kanan), ","")&amp;IF($D$24=B31,"R2-S1 (Rak2 kiri), ","")&amp;IF($E$24=B31,"R2-S2 (Rak2 tengah), ","")&amp;IF($F$24=B31,"R2-S3 (Rak2 kanan), ","")&amp;IF($G$24=B31,"R3-S1 (Rak3 kiri), ","")&amp;IF($H$24=B31,"R3-S2 (Rak3 tengah), ","")&amp;IF($I$24=B31,"R3-S3 (Rak3 kanan), ",""))))))</f>
        <v/>
      </c>
      <c r="J31">
        <f>IF(G31="","",IF(G31=1,0,1))</f>
        <v/>
      </c>
    </row>
    <row r="32">
      <c r="A32" t="inlineStr">
        <is>
          <t>K-H2</t>
        </is>
      </c>
      <c r="B32">
        <f>IF(A32="","",VLOOKUP(A32,'Undian Kubus'!$A$10:$D$18,2,FALSE))</f>
        <v/>
      </c>
      <c r="C32">
        <f>IF(A32="","",VLOOKUP(A32,'Undian Kubus'!$A$10:$D$18,3,FALSE))</f>
        <v/>
      </c>
      <c r="D32">
        <f>IF(A32="","",IF(E32="","(belum diisi — isi kolom E &amp; F)",TRIM(E32&amp;IF(F32&lt;&gt;""," — "&amp;F32,""))))</f>
        <v/>
      </c>
      <c r="E32" t="inlineStr">
        <is>
          <t>Stand B</t>
        </is>
      </c>
      <c r="F32" t="inlineStr">
        <is>
          <t>depan</t>
        </is>
      </c>
      <c r="G32">
        <f>IF(OR(A32="",E32="",F32=""),"",IF(OR(AND(OR(E32="Rak 1",E32="R1"),OR(LOWER(F32)="kiri",LOWER(F32)="s1",LOWER(F32)="r1-s1"),$A$24=B32),AND(OR(E32="Rak 1",E32="R1"),OR(LOWER(F32)="tengah",LOWER(F32)="s2",LOWER(F32)="r1-s2"),$B$24=B32),AND(OR(E32="Rak 1",E32="R1"),OR(LOWER(F32)="kanan",LOWER(F32)="s3",LOWER(F32)="r1-s3"),$C$24=B32),AND(OR(E32="Rak 2",E32="R2"),OR(LOWER(F32)="kiri",LOWER(F32)="s1",LOWER(F32)="r2-s1"),$D$24=B32),AND(OR(E32="Rak 2",E32="R2"),OR(LOWER(F32)="tengah",LOWER(F32)="s2",LOWER(F32)="r2-s2"),$E$24=B32),AND(OR(E32="Rak 2",E32="R2"),OR(LOWER(F32)="kanan",LOWER(F32)="s3",LOWER(F32)="r2-s3"),$F$24=B32),AND(OR(E32="Rak 3",E32="R3"),OR(LOWER(F32)="kiri",LOWER(F32)="s1",LOWER(F32)="r3-s1"),$G$24=B32),AND(OR(E32="Rak 3",E32="R3"),OR(LOWER(F32)="tengah",LOWER(F32)="s2",LOWER(F32)="r3-s2"),$H$24=B32),AND(OR(E32="Rak 3",E32="R3"),OR(LOWER(F32)="kanan",LOWER(F32)="s3",LOWER(F32)="r3-s3"),$I$24=B32)),1,0))</f>
        <v/>
      </c>
      <c r="H32">
        <f>IF(B32="","",IF(COUNTA($A$24:$I$24)=0,"(isi warna marker baris 24)",IF(IF(COUNTIF($A$24:$C$24,B32)&gt;0,"Rak 1, ","")&amp;IF(COUNTIF($D$24:$F$24,B32)&gt;0,"Rak 2, ","")&amp;IF(COUNTIF($G$24:$I$24,B32)&gt;0,"Rak 3, ","")="","",IF(LEN(IF(COUNTIF($A$24:$C$24,B32)&gt;0,"Rak 1, ","")&amp;IF(COUNTIF($D$24:$F$24,B32)&gt;0,"Rak 2, ","")&amp;IF(COUNTIF($G$24:$I$24,B32)&gt;0,"Rak 3, ",""))&gt;2,LEFT(IF(COUNTIF($A$24:$C$24,B32)&gt;0,"Rak 1, ","")&amp;IF(COUNTIF($D$24:$F$24,B32)&gt;0,"Rak 2, ","")&amp;IF(COUNTIF($G$24:$I$24,B32)&gt;0,"Rak 3, ",""),LEN(IF(COUNTIF($A$24:$C$24,B32)&gt;0,"Rak 1, ","")&amp;IF(COUNTIF($D$24:$F$24,B32)&gt;0,"Rak 2, ","")&amp;IF(COUNTIF($G$24:$I$24,B32)&gt;0,"Rak 3, ",""))-2),IF(COUNTIF($A$24:$C$24,B32)&gt;0,"Rak 1, ","")&amp;IF(COUNTIF($D$24:$F$24,B32)&gt;0,"Rak 2, ","")&amp;IF(COUNTIF($G$24:$I$24,B32)&gt;0,"Rak 3, ","")))))</f>
        <v/>
      </c>
      <c r="I32">
        <f>IF(B32="","",IF(COUNTA($A$24:$I$24)=0,"(isi warna marker baris 24)",IF(IF(IF($A$24=B32,"R1-S1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","")="","",IF(LEN(IF($A$24=B32,"R1-S1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",""))&gt;2,LEFT(IF($A$24=B32,"R1-S1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",""),LEN(IF($A$24=B32,"R1-S1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",""))-2),IF($A$24=B32,"R1-S1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","")))="","","Slot marker "&amp;B32&amp;": "&amp;IF(IF($A$24=B32,"R1-S1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","")="","",IF(LEN(IF($A$24=B32,"R1-S1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",""))&gt;2,LEFT(IF($A$24=B32,"R1-S1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",""),LEN(IF($A$24=B32,"R1-S1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",""))-2),IF($A$24=B32,"R1-S1 (Rak1 kiri), ","")&amp;IF($B$24=B32,"R1-S2 (Rak1 tengah), ","")&amp;IF($C$24=B32,"R1-S3 (Rak1 kanan), ","")&amp;IF($D$24=B32,"R2-S1 (Rak2 kiri), ","")&amp;IF($E$24=B32,"R2-S2 (Rak2 tengah), ","")&amp;IF($F$24=B32,"R2-S3 (Rak2 kanan), ","")&amp;IF($G$24=B32,"R3-S1 (Rak3 kiri), ","")&amp;IF($H$24=B32,"R3-S2 (Rak3 tengah), ","")&amp;IF($I$24=B32,"R3-S3 (Rak3 kanan), ",""))))))</f>
        <v/>
      </c>
      <c r="J32">
        <f>IF(G32="","",IF(G32=1,0,1))</f>
        <v/>
      </c>
    </row>
    <row r="33">
      <c r="A33" t="inlineStr">
        <is>
          <t>K-H3</t>
        </is>
      </c>
      <c r="B33">
        <f>IF(A33="","",VLOOKUP(A33,'Undian Kubus'!$A$10:$D$18,2,FALSE))</f>
        <v/>
      </c>
      <c r="C33">
        <f>IF(A33="","",VLOOKUP(A33,'Undian Kubus'!$A$10:$D$18,3,FALSE))</f>
        <v/>
      </c>
      <c r="D33">
        <f>IF(A33="","",IF(E33="","(belum diisi — isi kolom E &amp; F)",TRIM(E33&amp;IF(F33&lt;&gt;""," — "&amp;F33,""))))</f>
        <v/>
      </c>
      <c r="E33" t="inlineStr">
        <is>
          <t>Rak 1</t>
        </is>
      </c>
      <c r="F33" t="inlineStr">
        <is>
          <t>kanan</t>
        </is>
      </c>
      <c r="G33">
        <f>IF(OR(A33="",E33="",F33=""),"",IF(OR(AND(OR(E33="Rak 1",E33="R1"),OR(LOWER(F33)="kiri",LOWER(F33)="s1",LOWER(F33)="r1-s1"),$A$24=B33),AND(OR(E33="Rak 1",E33="R1"),OR(LOWER(F33)="tengah",LOWER(F33)="s2",LOWER(F33)="r1-s2"),$B$24=B33),AND(OR(E33="Rak 1",E33="R1"),OR(LOWER(F33)="kanan",LOWER(F33)="s3",LOWER(F33)="r1-s3"),$C$24=B33),AND(OR(E33="Rak 2",E33="R2"),OR(LOWER(F33)="kiri",LOWER(F33)="s1",LOWER(F33)="r2-s1"),$D$24=B33),AND(OR(E33="Rak 2",E33="R2"),OR(LOWER(F33)="tengah",LOWER(F33)="s2",LOWER(F33)="r2-s2"),$E$24=B33),AND(OR(E33="Rak 2",E33="R2"),OR(LOWER(F33)="kanan",LOWER(F33)="s3",LOWER(F33)="r2-s3"),$F$24=B33),AND(OR(E33="Rak 3",E33="R3"),OR(LOWER(F33)="kiri",LOWER(F33)="s1",LOWER(F33)="r3-s1"),$G$24=B33),AND(OR(E33="Rak 3",E33="R3"),OR(LOWER(F33)="tengah",LOWER(F33)="s2",LOWER(F33)="r3-s2"),$H$24=B33),AND(OR(E33="Rak 3",E33="R3"),OR(LOWER(F33)="kanan",LOWER(F33)="s3",LOWER(F33)="r3-s3"),$I$24=B33)),1,0))</f>
        <v/>
      </c>
      <c r="H33">
        <f>IF(B33="","",IF(COUNTA($A$24:$I$24)=0,"(isi warna marker baris 24)",IF(IF(COUNTIF($A$24:$C$24,B33)&gt;0,"Rak 1, ","")&amp;IF(COUNTIF($D$24:$F$24,B33)&gt;0,"Rak 2, ","")&amp;IF(COUNTIF($G$24:$I$24,B33)&gt;0,"Rak 3, ","")="","",IF(LEN(IF(COUNTIF($A$24:$C$24,B33)&gt;0,"Rak 1, ","")&amp;IF(COUNTIF($D$24:$F$24,B33)&gt;0,"Rak 2, ","")&amp;IF(COUNTIF($G$24:$I$24,B33)&gt;0,"Rak 3, ",""))&gt;2,LEFT(IF(COUNTIF($A$24:$C$24,B33)&gt;0,"Rak 1, ","")&amp;IF(COUNTIF($D$24:$F$24,B33)&gt;0,"Rak 2, ","")&amp;IF(COUNTIF($G$24:$I$24,B33)&gt;0,"Rak 3, ",""),LEN(IF(COUNTIF($A$24:$C$24,B33)&gt;0,"Rak 1, ","")&amp;IF(COUNTIF($D$24:$F$24,B33)&gt;0,"Rak 2, ","")&amp;IF(COUNTIF($G$24:$I$24,B33)&gt;0,"Rak 3, ",""))-2),IF(COUNTIF($A$24:$C$24,B33)&gt;0,"Rak 1, ","")&amp;IF(COUNTIF($D$24:$F$24,B33)&gt;0,"Rak 2, ","")&amp;IF(COUNTIF($G$24:$I$24,B33)&gt;0,"Rak 3, ","")))))</f>
        <v/>
      </c>
      <c r="I33">
        <f>IF(B33="","",IF(COUNTA($A$24:$I$24)=0,"(isi warna marker baris 24)",IF(IF(IF($A$24=B33,"R1-S1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","")="","",IF(LEN(IF($A$24=B33,"R1-S1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",""))&gt;2,LEFT(IF($A$24=B33,"R1-S1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",""),LEN(IF($A$24=B33,"R1-S1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",""))-2),IF($A$24=B33,"R1-S1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","")))="","","Slot marker "&amp;B33&amp;": "&amp;IF(IF($A$24=B33,"R1-S1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","")="","",IF(LEN(IF($A$24=B33,"R1-S1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",""))&gt;2,LEFT(IF($A$24=B33,"R1-S1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",""),LEN(IF($A$24=B33,"R1-S1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",""))-2),IF($A$24=B33,"R1-S1 (Rak1 kiri), ","")&amp;IF($B$24=B33,"R1-S2 (Rak1 tengah), ","")&amp;IF($C$24=B33,"R1-S3 (Rak1 kanan), ","")&amp;IF($D$24=B33,"R2-S1 (Rak2 kiri), ","")&amp;IF($E$24=B33,"R2-S2 (Rak2 tengah), ","")&amp;IF($F$24=B33,"R2-S3 (Rak2 kanan), ","")&amp;IF($G$24=B33,"R3-S1 (Rak3 kiri), ","")&amp;IF($H$24=B33,"R3-S2 (Rak3 tengah), ","")&amp;IF($I$24=B33,"R3-S3 (Rak3 kanan), ",""))))))</f>
        <v/>
      </c>
      <c r="J33">
        <f>IF(G33="","",IF(G33=1,0,1))</f>
        <v/>
      </c>
    </row>
    <row r="34">
      <c r="A34" t="inlineStr">
        <is>
          <t>K-B1</t>
        </is>
      </c>
      <c r="B34">
        <f>IF(A34="","",VLOOKUP(A34,'Undian Kubus'!$A$10:$D$18,2,FALSE))</f>
        <v/>
      </c>
      <c r="C34">
        <f>IF(A34="","",VLOOKUP(A34,'Undian Kubus'!$A$10:$D$18,3,FALSE))</f>
        <v/>
      </c>
      <c r="D34">
        <f>IF(A34="","",IF(E34="","(belum diisi — isi kolom E &amp; F)",TRIM(E34&amp;IF(F34&lt;&gt;""," — "&amp;F34,""))))</f>
        <v/>
      </c>
      <c r="E34" t="inlineStr">
        <is>
          <t>Rak 2</t>
        </is>
      </c>
      <c r="F34" t="inlineStr">
        <is>
          <t>kiri</t>
        </is>
      </c>
      <c r="G34">
        <f>IF(OR(A34="",E34="",F34=""),"",IF(OR(AND(OR(E34="Rak 1",E34="R1"),OR(LOWER(F34)="kiri",LOWER(F34)="s1",LOWER(F34)="r1-s1"),$A$24=B34),AND(OR(E34="Rak 1",E34="R1"),OR(LOWER(F34)="tengah",LOWER(F34)="s2",LOWER(F34)="r1-s2"),$B$24=B34),AND(OR(E34="Rak 1",E34="R1"),OR(LOWER(F34)="kanan",LOWER(F34)="s3",LOWER(F34)="r1-s3"),$C$24=B34),AND(OR(E34="Rak 2",E34="R2"),OR(LOWER(F34)="kiri",LOWER(F34)="s1",LOWER(F34)="r2-s1"),$D$24=B34),AND(OR(E34="Rak 2",E34="R2"),OR(LOWER(F34)="tengah",LOWER(F34)="s2",LOWER(F34)="r2-s2"),$E$24=B34),AND(OR(E34="Rak 2",E34="R2"),OR(LOWER(F34)="kanan",LOWER(F34)="s3",LOWER(F34)="r2-s3"),$F$24=B34),AND(OR(E34="Rak 3",E34="R3"),OR(LOWER(F34)="kiri",LOWER(F34)="s1",LOWER(F34)="r3-s1"),$G$24=B34),AND(OR(E34="Rak 3",E34="R3"),OR(LOWER(F34)="tengah",LOWER(F34)="s2",LOWER(F34)="r3-s2"),$H$24=B34),AND(OR(E34="Rak 3",E34="R3"),OR(LOWER(F34)="kanan",LOWER(F34)="s3",LOWER(F34)="r3-s3"),$I$24=B34)),1,0))</f>
        <v/>
      </c>
      <c r="H34">
        <f>IF(B34="","",IF(COUNTA($A$24:$I$24)=0,"(isi warna marker baris 24)",IF(IF(COUNTIF($A$24:$C$24,B34)&gt;0,"Rak 1, ","")&amp;IF(COUNTIF($D$24:$F$24,B34)&gt;0,"Rak 2, ","")&amp;IF(COUNTIF($G$24:$I$24,B34)&gt;0,"Rak 3, ","")="","",IF(LEN(IF(COUNTIF($A$24:$C$24,B34)&gt;0,"Rak 1, ","")&amp;IF(COUNTIF($D$24:$F$24,B34)&gt;0,"Rak 2, ","")&amp;IF(COUNTIF($G$24:$I$24,B34)&gt;0,"Rak 3, ",""))&gt;2,LEFT(IF(COUNTIF($A$24:$C$24,B34)&gt;0,"Rak 1, ","")&amp;IF(COUNTIF($D$24:$F$24,B34)&gt;0,"Rak 2, ","")&amp;IF(COUNTIF($G$24:$I$24,B34)&gt;0,"Rak 3, ",""),LEN(IF(COUNTIF($A$24:$C$24,B34)&gt;0,"Rak 1, ","")&amp;IF(COUNTIF($D$24:$F$24,B34)&gt;0,"Rak 2, ","")&amp;IF(COUNTIF($G$24:$I$24,B34)&gt;0,"Rak 3, ",""))-2),IF(COUNTIF($A$24:$C$24,B34)&gt;0,"Rak 1, ","")&amp;IF(COUNTIF($D$24:$F$24,B34)&gt;0,"Rak 2, ","")&amp;IF(COUNTIF($G$24:$I$24,B34)&gt;0,"Rak 3, ","")))))</f>
        <v/>
      </c>
      <c r="I34">
        <f>IF(B34="","",IF(COUNTA($A$24:$I$24)=0,"(isi warna marker baris 24)",IF(IF(IF($A$24=B34,"R1-S1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","")="","",IF(LEN(IF($A$24=B34,"R1-S1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",""))&gt;2,LEFT(IF($A$24=B34,"R1-S1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",""),LEN(IF($A$24=B34,"R1-S1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",""))-2),IF($A$24=B34,"R1-S1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","")))="","","Slot marker "&amp;B34&amp;": "&amp;IF(IF($A$24=B34,"R1-S1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","")="","",IF(LEN(IF($A$24=B34,"R1-S1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",""))&gt;2,LEFT(IF($A$24=B34,"R1-S1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",""),LEN(IF($A$24=B34,"R1-S1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",""))-2),IF($A$24=B34,"R1-S1 (Rak1 kiri), ","")&amp;IF($B$24=B34,"R1-S2 (Rak1 tengah), ","")&amp;IF($C$24=B34,"R1-S3 (Rak1 kanan), ","")&amp;IF($D$24=B34,"R2-S1 (Rak2 kiri), ","")&amp;IF($E$24=B34,"R2-S2 (Rak2 tengah), ","")&amp;IF($F$24=B34,"R2-S3 (Rak2 kanan), ","")&amp;IF($G$24=B34,"R3-S1 (Rak3 kiri), ","")&amp;IF($H$24=B34,"R3-S2 (Rak3 tengah), ","")&amp;IF($I$24=B34,"R3-S3 (Rak3 kanan), ",""))))))</f>
        <v/>
      </c>
      <c r="J34">
        <f>IF(G34="","",IF(G34=1,0,1))</f>
        <v/>
      </c>
    </row>
    <row r="35">
      <c r="A35" t="inlineStr">
        <is>
          <t>K-B2</t>
        </is>
      </c>
      <c r="B35">
        <f>IF(A35="","",VLOOKUP(A35,'Undian Kubus'!$A$10:$D$18,2,FALSE))</f>
        <v/>
      </c>
      <c r="C35">
        <f>IF(A35="","",VLOOKUP(A35,'Undian Kubus'!$A$10:$D$18,3,FALSE))</f>
        <v/>
      </c>
      <c r="D35">
        <f>IF(A35="","",IF(E35="","(belum diisi — isi kolom E &amp; F)",TRIM(E35&amp;IF(F35&lt;&gt;""," — "&amp;F35,""))))</f>
        <v/>
      </c>
      <c r="E35" t="inlineStr">
        <is>
          <t>Rak 3</t>
        </is>
      </c>
      <c r="F35" t="inlineStr">
        <is>
          <t>tengah</t>
        </is>
      </c>
      <c r="G35">
        <f>IF(OR(A35="",E35="",F35=""),"",IF(OR(AND(OR(E35="Rak 1",E35="R1"),OR(LOWER(F35)="kiri",LOWER(F35)="s1",LOWER(F35)="r1-s1"),$A$24=B35),AND(OR(E35="Rak 1",E35="R1"),OR(LOWER(F35)="tengah",LOWER(F35)="s2",LOWER(F35)="r1-s2"),$B$24=B35),AND(OR(E35="Rak 1",E35="R1"),OR(LOWER(F35)="kanan",LOWER(F35)="s3",LOWER(F35)="r1-s3"),$C$24=B35),AND(OR(E35="Rak 2",E35="R2"),OR(LOWER(F35)="kiri",LOWER(F35)="s1",LOWER(F35)="r2-s1"),$D$24=B35),AND(OR(E35="Rak 2",E35="R2"),OR(LOWER(F35)="tengah",LOWER(F35)="s2",LOWER(F35)="r2-s2"),$E$24=B35),AND(OR(E35="Rak 2",E35="R2"),OR(LOWER(F35)="kanan",LOWER(F35)="s3",LOWER(F35)="r2-s3"),$F$24=B35),AND(OR(E35="Rak 3",E35="R3"),OR(LOWER(F35)="kiri",LOWER(F35)="s1",LOWER(F35)="r3-s1"),$G$24=B35),AND(OR(E35="Rak 3",E35="R3"),OR(LOWER(F35)="tengah",LOWER(F35)="s2",LOWER(F35)="r3-s2"),$H$24=B35),AND(OR(E35="Rak 3",E35="R3"),OR(LOWER(F35)="kanan",LOWER(F35)="s3",LOWER(F35)="r3-s3"),$I$24=B35)),1,0))</f>
        <v/>
      </c>
      <c r="H35">
        <f>IF(B35="","",IF(COUNTA($A$24:$I$24)=0,"(isi warna marker baris 24)",IF(IF(COUNTIF($A$24:$C$24,B35)&gt;0,"Rak 1, ","")&amp;IF(COUNTIF($D$24:$F$24,B35)&gt;0,"Rak 2, ","")&amp;IF(COUNTIF($G$24:$I$24,B35)&gt;0,"Rak 3, ","")="","",IF(LEN(IF(COUNTIF($A$24:$C$24,B35)&gt;0,"Rak 1, ","")&amp;IF(COUNTIF($D$24:$F$24,B35)&gt;0,"Rak 2, ","")&amp;IF(COUNTIF($G$24:$I$24,B35)&gt;0,"Rak 3, ",""))&gt;2,LEFT(IF(COUNTIF($A$24:$C$24,B35)&gt;0,"Rak 1, ","")&amp;IF(COUNTIF($D$24:$F$24,B35)&gt;0,"Rak 2, ","")&amp;IF(COUNTIF($G$24:$I$24,B35)&gt;0,"Rak 3, ",""),LEN(IF(COUNTIF($A$24:$C$24,B35)&gt;0,"Rak 1, ","")&amp;IF(COUNTIF($D$24:$F$24,B35)&gt;0,"Rak 2, ","")&amp;IF(COUNTIF($G$24:$I$24,B35)&gt;0,"Rak 3, ",""))-2),IF(COUNTIF($A$24:$C$24,B35)&gt;0,"Rak 1, ","")&amp;IF(COUNTIF($D$24:$F$24,B35)&gt;0,"Rak 2, ","")&amp;IF(COUNTIF($G$24:$I$24,B35)&gt;0,"Rak 3, ","")))))</f>
        <v/>
      </c>
      <c r="I35">
        <f>IF(B35="","",IF(COUNTA($A$24:$I$24)=0,"(isi warna marker baris 24)",IF(IF(IF($A$24=B35,"R1-S1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","")="","",IF(LEN(IF($A$24=B35,"R1-S1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",""))&gt;2,LEFT(IF($A$24=B35,"R1-S1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",""),LEN(IF($A$24=B35,"R1-S1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",""))-2),IF($A$24=B35,"R1-S1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","")))="","","Slot marker "&amp;B35&amp;": "&amp;IF(IF($A$24=B35,"R1-S1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","")="","",IF(LEN(IF($A$24=B35,"R1-S1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",""))&gt;2,LEFT(IF($A$24=B35,"R1-S1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",""),LEN(IF($A$24=B35,"R1-S1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",""))-2),IF($A$24=B35,"R1-S1 (Rak1 kiri), ","")&amp;IF($B$24=B35,"R1-S2 (Rak1 tengah), ","")&amp;IF($C$24=B35,"R1-S3 (Rak1 kanan), ","")&amp;IF($D$24=B35,"R2-S1 (Rak2 kiri), ","")&amp;IF($E$24=B35,"R2-S2 (Rak2 tengah), ","")&amp;IF($F$24=B35,"R2-S3 (Rak2 kanan), ","")&amp;IF($G$24=B35,"R3-S1 (Rak3 kiri), ","")&amp;IF($H$24=B35,"R3-S2 (Rak3 tengah), ","")&amp;IF($I$24=B35,"R3-S3 (Rak3 kanan), ",""))))))</f>
        <v/>
      </c>
      <c r="J35">
        <f>IF(G35="","",IF(G35=1,0,1))</f>
        <v/>
      </c>
    </row>
    <row r="36">
      <c r="A36" t="inlineStr">
        <is>
          <t>K-B3</t>
        </is>
      </c>
      <c r="B36">
        <f>IF(A36="","",VLOOKUP(A36,'Undian Kubus'!$A$10:$D$18,2,FALSE))</f>
        <v/>
      </c>
      <c r="C36">
        <f>IF(A36="","",VLOOKUP(A36,'Undian Kubus'!$A$10:$D$18,3,FALSE))</f>
        <v/>
      </c>
      <c r="D36">
        <f>IF(A36="","",IF(E36="","(belum diisi — isi kolom E &amp; F)",TRIM(E36&amp;IF(F36&lt;&gt;""," — "&amp;F36,""))))</f>
        <v/>
      </c>
      <c r="E36" t="inlineStr">
        <is>
          <t>Stand C</t>
        </is>
      </c>
      <c r="F36" t="inlineStr">
        <is>
          <t>depan</t>
        </is>
      </c>
      <c r="G36">
        <f>IF(OR(A36="",E36="",F36=""),"",IF(OR(AND(OR(E36="Rak 1",E36="R1"),OR(LOWER(F36)="kiri",LOWER(F36)="s1",LOWER(F36)="r1-s1"),$A$24=B36),AND(OR(E36="Rak 1",E36="R1"),OR(LOWER(F36)="tengah",LOWER(F36)="s2",LOWER(F36)="r1-s2"),$B$24=B36),AND(OR(E36="Rak 1",E36="R1"),OR(LOWER(F36)="kanan",LOWER(F36)="s3",LOWER(F36)="r1-s3"),$C$24=B36),AND(OR(E36="Rak 2",E36="R2"),OR(LOWER(F36)="kiri",LOWER(F36)="s1",LOWER(F36)="r2-s1"),$D$24=B36),AND(OR(E36="Rak 2",E36="R2"),OR(LOWER(F36)="tengah",LOWER(F36)="s2",LOWER(F36)="r2-s2"),$E$24=B36),AND(OR(E36="Rak 2",E36="R2"),OR(LOWER(F36)="kanan",LOWER(F36)="s3",LOWER(F36)="r2-s3"),$F$24=B36),AND(OR(E36="Rak 3",E36="R3"),OR(LOWER(F36)="kiri",LOWER(F36)="s1",LOWER(F36)="r3-s1"),$G$24=B36),AND(OR(E36="Rak 3",E36="R3"),OR(LOWER(F36)="tengah",LOWER(F36)="s2",LOWER(F36)="r3-s2"),$H$24=B36),AND(OR(E36="Rak 3",E36="R3"),OR(LOWER(F36)="kanan",LOWER(F36)="s3",LOWER(F36)="r3-s3"),$I$24=B36)),1,0))</f>
        <v/>
      </c>
      <c r="H36">
        <f>IF(B36="","",IF(COUNTA($A$24:$I$24)=0,"(isi warna marker baris 24)",IF(IF(COUNTIF($A$24:$C$24,B36)&gt;0,"Rak 1, ","")&amp;IF(COUNTIF($D$24:$F$24,B36)&gt;0,"Rak 2, ","")&amp;IF(COUNTIF($G$24:$I$24,B36)&gt;0,"Rak 3, ","")="","",IF(LEN(IF(COUNTIF($A$24:$C$24,B36)&gt;0,"Rak 1, ","")&amp;IF(COUNTIF($D$24:$F$24,B36)&gt;0,"Rak 2, ","")&amp;IF(COUNTIF($G$24:$I$24,B36)&gt;0,"Rak 3, ",""))&gt;2,LEFT(IF(COUNTIF($A$24:$C$24,B36)&gt;0,"Rak 1, ","")&amp;IF(COUNTIF($D$24:$F$24,B36)&gt;0,"Rak 2, ","")&amp;IF(COUNTIF($G$24:$I$24,B36)&gt;0,"Rak 3, ",""),LEN(IF(COUNTIF($A$24:$C$24,B36)&gt;0,"Rak 1, ","")&amp;IF(COUNTIF($D$24:$F$24,B36)&gt;0,"Rak 2, ","")&amp;IF(COUNTIF($G$24:$I$24,B36)&gt;0,"Rak 3, ",""))-2),IF(COUNTIF($A$24:$C$24,B36)&gt;0,"Rak 1, ","")&amp;IF(COUNTIF($D$24:$F$24,B36)&gt;0,"Rak 2, ","")&amp;IF(COUNTIF($G$24:$I$24,B36)&gt;0,"Rak 3, ","")))))</f>
        <v/>
      </c>
      <c r="I36">
        <f>IF(B36="","",IF(COUNTA($A$24:$I$24)=0,"(isi warna marker baris 24)",IF(IF(IF($A$24=B36,"R1-S1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","")="","",IF(LEN(IF($A$24=B36,"R1-S1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",""))&gt;2,LEFT(IF($A$24=B36,"R1-S1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",""),LEN(IF($A$24=B36,"R1-S1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",""))-2),IF($A$24=B36,"R1-S1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","")))="","","Slot marker "&amp;B36&amp;": "&amp;IF(IF($A$24=B36,"R1-S1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","")="","",IF(LEN(IF($A$24=B36,"R1-S1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",""))&gt;2,LEFT(IF($A$24=B36,"R1-S1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",""),LEN(IF($A$24=B36,"R1-S1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",""))-2),IF($A$24=B36,"R1-S1 (Rak1 kiri), ","")&amp;IF($B$24=B36,"R1-S2 (Rak1 tengah), ","")&amp;IF($C$24=B36,"R1-S3 (Rak1 kanan), ","")&amp;IF($D$24=B36,"R2-S1 (Rak2 kiri), ","")&amp;IF($E$24=B36,"R2-S2 (Rak2 tengah), ","")&amp;IF($F$24=B36,"R2-S3 (Rak2 kanan), ","")&amp;IF($G$24=B36,"R3-S1 (Rak3 kiri), ","")&amp;IF($H$24=B36,"R3-S2 (Rak3 tengah), ","")&amp;IF($I$24=B36,"R3-S3 (Rak3 kanan), ",""))))))</f>
        <v/>
      </c>
      <c r="J36">
        <f>IF(G36="","",IF(G36=1,0,1))</f>
        <v/>
      </c>
    </row>
    <row r="37"/>
    <row r="38" ht="36" customHeight="1">
      <c r="A38" s="13" t="inlineStr">
        <is>
          <t>OBSTACLE — catat posisi obstacle yang dipakai di run ini (isi baris di bawah, kolom Obs 1–10). Tulis lokasi singkat; kolom tidak dipakai dikosongkan.</t>
        </is>
      </c>
    </row>
    <row r="39">
      <c r="A39" s="14" t="inlineStr">
        <is>
          <t>Contoh isian: «kiri GATE» | «tengah arena» | «dekat Rak 2» | «antara START dan Rak 1» | «kanan bawah». Jumlah obstacle mengikuti soal hari itu (biasanya 6–10 buah).</t>
        </is>
      </c>
    </row>
    <row r="40">
      <c r="A40" s="5" t="inlineStr">
        <is>
          <t>Obs 1</t>
        </is>
      </c>
      <c r="B40" s="5" t="inlineStr">
        <is>
          <t>Obs 2</t>
        </is>
      </c>
      <c r="C40" s="5" t="inlineStr">
        <is>
          <t>Obs 3</t>
        </is>
      </c>
      <c r="D40" s="5" t="inlineStr">
        <is>
          <t>Obs 4</t>
        </is>
      </c>
      <c r="E40" s="5" t="inlineStr">
        <is>
          <t>Obs 5</t>
        </is>
      </c>
      <c r="F40" s="5" t="inlineStr">
        <is>
          <t>Obs 6</t>
        </is>
      </c>
      <c r="G40" s="5" t="inlineStr">
        <is>
          <t>Obs 7</t>
        </is>
      </c>
      <c r="H40" s="5" t="inlineStr">
        <is>
          <t>Obs 8</t>
        </is>
      </c>
      <c r="I40" s="5" t="inlineStr">
        <is>
          <t>Obs 9</t>
        </is>
      </c>
      <c r="J40" s="5" t="inlineStr">
        <is>
          <t>Obs 10</t>
        </is>
      </c>
    </row>
    <row r="41">
      <c r="A41" t="inlineStr">
        <is>
          <t>kiri GATE</t>
        </is>
      </c>
      <c r="B41" t="inlineStr">
        <is>
          <t>tengah kiri arena</t>
        </is>
      </c>
      <c r="C41" t="inlineStr">
        <is>
          <t>tengah kanan arena</t>
        </is>
      </c>
      <c r="D41" t="inlineStr">
        <is>
          <t>kanan atas Rak 2</t>
        </is>
      </c>
      <c r="E41" t="inlineStr">
        <is>
          <t>bawah tengah</t>
        </is>
      </c>
      <c r="F41" t="inlineStr">
        <is>
          <t>dekat Rak 3</t>
        </is>
      </c>
    </row>
    <row r="43">
      <c r="A43" t="inlineStr">
        <is>
          <t>Tanda tangan Juru Acak:</t>
        </is>
      </c>
      <c r="D43" t="inlineStr">
        <is>
          <t>Tanda tangan Juri:</t>
        </is>
      </c>
      <c r="G43" t="inlineStr">
        <is>
          <t>Tanda tangan Peserta (saksi):</t>
        </is>
      </c>
    </row>
  </sheetData>
  <mergeCells count="9">
    <mergeCell ref="G22:I22"/>
    <mergeCell ref="D22:F22"/>
    <mergeCell ref="A22:C22"/>
    <mergeCell ref="A39:J39"/>
    <mergeCell ref="A38:J38"/>
    <mergeCell ref="A2:J2"/>
    <mergeCell ref="A1:K1"/>
    <mergeCell ref="A20:I20"/>
    <mergeCell ref="A21:I21"/>
  </mergeCells>
  <dataValidations count="2">
    <dataValidation sqref="E28 E29 E30 E31 E32 E33 E34 E35 E36" showDropDown="0" showInputMessage="0" showErrorMessage="0" allowBlank="1" type="list">
      <formula1>"Rak 1,Rak 2,Rak 3,Stand A,Stand B,Stand C,Lantai"</formula1>
    </dataValidation>
    <dataValidation sqref="F28 F29 F30 F31 F32 F33 F34 F35 F36" showDropDown="0" showInputMessage="0" showErrorMessage="0" allowBlank="1" type="list">
      <formula1>"kiri,tengah,kanan"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2" customWidth="1" min="8" max="8"/>
    <col width="8" customWidth="1" min="9" max="9"/>
    <col width="8" customWidth="1" min="10" max="10"/>
    <col width="20" customWidth="1" min="11" max="11"/>
  </cols>
  <sheetData>
    <row r="1">
      <c r="A1" s="1" t="inlineStr">
        <is>
          <t>MODUL E — Performansi Otonom (60 poin, Measurement)</t>
        </is>
      </c>
    </row>
    <row r="2" ht="18" customHeight="1">
      <c r="A2" s="4" t="inlineStr">
        <is>
          <t>Bingung cara pakai Modul E? Buka panduan lengkap di GitHub (klik di sini)</t>
        </is>
      </c>
    </row>
    <row r="3">
      <c r="A3" t="inlineStr">
        <is>
          <t>Tim No:</t>
        </is>
      </c>
      <c r="B3" t="inlineStr">
        <is>
          <t>05</t>
        </is>
      </c>
      <c r="C3" t="inlineStr">
        <is>
          <t>Run ID:</t>
        </is>
      </c>
      <c r="D3" t="inlineStr">
        <is>
          <t>H2</t>
        </is>
      </c>
      <c r="E3" t="inlineStr">
        <is>
          <t>Hari:</t>
        </is>
      </c>
      <c r="G3" t="inlineStr">
        <is>
          <t>Trial/Final:</t>
        </is>
      </c>
      <c r="H3" t="inlineStr">
        <is>
          <t>Trial</t>
        </is>
      </c>
    </row>
    <row r="4">
      <c r="A4" t="inlineStr">
        <is>
          <t>Arena No:</t>
        </is>
      </c>
      <c r="B4" t="inlineStr">
        <is>
          <t>2</t>
        </is>
      </c>
      <c r="C4" t="inlineStr">
        <is>
          <t>Waktu START:</t>
        </is>
      </c>
      <c r="D4" t="inlineStr">
        <is>
          <t>08:42</t>
        </is>
      </c>
    </row>
    <row r="5">
      <c r="A5" s="15" t="inlineStr">
        <is>
          <t>PETUNJUK: Isi sheet Undian Kubus dulu — baris 24 (warna marker, baris kuning), kolom A baris 28–36 (ID kubus), E (Rak/Stand), F (Slot). Kolom di bawah terisi otomatis.</t>
        </is>
      </c>
    </row>
    <row r="6">
      <c r="A6" s="5" t="inlineStr">
        <is>
          <t>No</t>
        </is>
      </c>
      <c r="B6" s="5" t="inlineStr">
        <is>
          <t>ID Kubus</t>
        </is>
      </c>
      <c r="C6" s="5" t="inlineStr">
        <is>
          <t>Warna</t>
        </is>
      </c>
      <c r="D6" s="5" t="inlineStr">
        <is>
          <t>Bentuk</t>
        </is>
      </c>
      <c r="E6" s="5" t="inlineStr">
        <is>
          <t>Posisi Awal</t>
        </is>
      </c>
      <c r="F6" s="5" t="inlineStr">
        <is>
          <t>Slot Target</t>
        </is>
      </c>
      <c r="G6" s="5" t="inlineStr">
        <is>
          <t>OK Awal (1/0)</t>
        </is>
      </c>
      <c r="H6" s="5" t="inlineStr">
        <is>
          <t>Hasil Run (1/0)</t>
        </is>
      </c>
      <c r="I6" s="5" t="inlineStr">
        <is>
          <t>Bobot</t>
        </is>
      </c>
      <c r="J6" s="5" t="inlineStr">
        <is>
          <t>Skor</t>
        </is>
      </c>
      <c r="K6" s="5" t="inlineStr">
        <is>
          <t>Catatan</t>
        </is>
      </c>
    </row>
    <row r="7">
      <c r="A7" t="n">
        <v>1</v>
      </c>
      <c r="B7">
        <f>IF('Undian Kubus'!A28="","",'Undian Kubus'!A28)</f>
        <v/>
      </c>
      <c r="C7">
        <f>IF(B7="","",VLOOKUP(B7,'Undian Kubus'!$A$10:$D$18,2,FALSE))</f>
        <v/>
      </c>
      <c r="D7">
        <f>IF(B7="","",VLOOKUP(B7,'Undian Kubus'!$A$10:$D$18,3,FALSE))</f>
        <v/>
      </c>
      <c r="E7">
        <f>IF(B7="","",IF(IFERROR(VLOOKUP(B7,'Undian Kubus'!$A$28:$I$36,5,FALSE),"")="","→ isi Rak/Stand &amp; Slot (sheet Undian Kubus)",IFERROR(VLOOKUP(B7,'Undian Kubus'!$A$28:$I$36,4,FALSE),"")))</f>
        <v/>
      </c>
      <c r="F7">
        <f>IF(B7="","",IF(C7="","",IF(COUNTA('Undian Kubus'!$A$24:$I$24)=0,"→ isi warna marker baris 24 (Undian)",IF(IF('Undian Kubus'!$A$24=C7,"R1-S1 (Rak1 kiri), ","")&amp;IF('Undian Kubus'!$B$24=C7,"R1-S2 (Rak1 tengah), ","")&amp;IF('Undian Kubus'!$C$24=C7,"R1-S3 (Rak1 kanan), ","")&amp;IF('Undian Kubus'!$D$24=C7,"R2-S1 (Rak2 kiri), ","")&amp;IF('Undian Kubus'!$E$24=C7,"R2-S2 (Rak2 tengah), ","")&amp;IF('Undian Kubus'!$F$24=C7,"R2-S3 (Rak2 kanan), ","")&amp;IF('Undian Kubus'!$G$24=C7,"R3-S1 (Rak3 kiri), ","")&amp;IF('Undian Kubus'!$H$24=C7,"R3-S2 (Rak3 tengah), ","")&amp;IF('Undian Kubus'!$I$24=C7,"R3-S3 (Rak3 kanan), ","")="","",IF(LEN(IF('Undian Kubus'!$A$24=C7,"R1-S1 (Rak1 kiri), ","")&amp;IF('Undian Kubus'!$B$24=C7,"R1-S2 (Rak1 tengah), ","")&amp;IF('Undian Kubus'!$C$24=C7,"R1-S3 (Rak1 kanan), ","")&amp;IF('Undian Kubus'!$D$24=C7,"R2-S1 (Rak2 kiri), ","")&amp;IF('Undian Kubus'!$E$24=C7,"R2-S2 (Rak2 tengah), ","")&amp;IF('Undian Kubus'!$F$24=C7,"R2-S3 (Rak2 kanan), ","")&amp;IF('Undian Kubus'!$G$24=C7,"R3-S1 (Rak3 kiri), ","")&amp;IF('Undian Kubus'!$H$24=C7,"R3-S2 (Rak3 tengah), ","")&amp;IF('Undian Kubus'!$I$24=C7,"R3-S3 (Rak3 kanan), ",""))&gt;2,LEFT(IF('Undian Kubus'!$A$24=C7,"R1-S1 (Rak1 kiri), ","")&amp;IF('Undian Kubus'!$B$24=C7,"R1-S2 (Rak1 tengah), ","")&amp;IF('Undian Kubus'!$C$24=C7,"R1-S3 (Rak1 kanan), ","")&amp;IF('Undian Kubus'!$D$24=C7,"R2-S1 (Rak2 kiri), ","")&amp;IF('Undian Kubus'!$E$24=C7,"R2-S2 (Rak2 tengah), ","")&amp;IF('Undian Kubus'!$F$24=C7,"R2-S3 (Rak2 kanan), ","")&amp;IF('Undian Kubus'!$G$24=C7,"R3-S1 (Rak3 kiri), ","")&amp;IF('Undian Kubus'!$H$24=C7,"R3-S2 (Rak3 tengah), ","")&amp;IF('Undian Kubus'!$I$24=C7,"R3-S3 (Rak3 kanan), ",""),LEN(IF('Undian Kubus'!$A$24=C7,"R1-S1 (Rak1 kiri), ","")&amp;IF('Undian Kubus'!$B$24=C7,"R1-S2 (Rak1 tengah), ","")&amp;IF('Undian Kubus'!$C$24=C7,"R1-S3 (Rak1 kanan), ","")&amp;IF('Undian Kubus'!$D$24=C7,"R2-S1 (Rak2 kiri), ","")&amp;IF('Undian Kubus'!$E$24=C7,"R2-S2 (Rak2 tengah), ","")&amp;IF('Undian Kubus'!$F$24=C7,"R2-S3 (Rak2 kanan), ","")&amp;IF('Undian Kubus'!$G$24=C7,"R3-S1 (Rak3 kiri), ","")&amp;IF('Undian Kubus'!$H$24=C7,"R3-S2 (Rak3 tengah), ","")&amp;IF('Undian Kubus'!$I$24=C7,"R3-S3 (Rak3 kanan), ",""))-2),IF('Undian Kubus'!$A$24=C7,"R1-S1 (Rak1 kiri), ","")&amp;IF('Undian Kubus'!$B$24=C7,"R1-S2 (Rak1 tengah), ","")&amp;IF('Undian Kubus'!$C$24=C7,"R1-S3 (Rak1 kanan), ","")&amp;IF('Undian Kubus'!$D$24=C7,"R2-S1 (Rak2 kiri), ","")&amp;IF('Undian Kubus'!$E$24=C7,"R2-S2 (Rak2 tengah), ","")&amp;IF('Undian Kubus'!$F$24=C7,"R2-S3 (Rak2 kanan), ","")&amp;IF('Undian Kubus'!$G$24=C7,"R3-S1 (Rak3 kiri), ","")&amp;IF('Undian Kubus'!$H$24=C7,"R3-S2 (Rak3 tengah), ","")&amp;IF('Undian Kubus'!$I$24=C7,"R3-S3 (Rak3 kanan), ",""))))))</f>
        <v/>
      </c>
      <c r="G7">
        <f>IF(B7="","",IFERROR(VLOOKUP(B7,'Undian Kubus'!$A$28:$I$36,7,FALSE),""))</f>
        <v/>
      </c>
      <c r="H7" t="n">
        <v>1</v>
      </c>
      <c r="I7">
        <f>60/9</f>
        <v/>
      </c>
      <c r="J7">
        <f>IF(H7="",0,H7*I7)</f>
        <v/>
      </c>
    </row>
    <row r="8">
      <c r="A8" t="n">
        <v>2</v>
      </c>
      <c r="B8">
        <f>IF('Undian Kubus'!A29="","",'Undian Kubus'!A29)</f>
        <v/>
      </c>
      <c r="C8">
        <f>IF(B8="","",VLOOKUP(B8,'Undian Kubus'!$A$10:$D$18,2,FALSE))</f>
        <v/>
      </c>
      <c r="D8">
        <f>IF(B8="","",VLOOKUP(B8,'Undian Kubus'!$A$10:$D$18,3,FALSE))</f>
        <v/>
      </c>
      <c r="E8">
        <f>IF(B8="","",IF(IFERROR(VLOOKUP(B8,'Undian Kubus'!$A$28:$I$36,5,FALSE),"")="","→ isi Rak/Stand &amp; Slot (sheet Undian Kubus)",IFERROR(VLOOKUP(B8,'Undian Kubus'!$A$28:$I$36,4,FALSE),"")))</f>
        <v/>
      </c>
      <c r="F8">
        <f>IF(B8="","",IF(C8="","",IF(COUNTA('Undian Kubus'!$A$24:$I$24)=0,"→ isi warna marker baris 24 (Undian)",IF(IF('Undian Kubus'!$A$24=C8,"R1-S1 (Rak1 kiri), ","")&amp;IF('Undian Kubus'!$B$24=C8,"R1-S2 (Rak1 tengah), ","")&amp;IF('Undian Kubus'!$C$24=C8,"R1-S3 (Rak1 kanan), ","")&amp;IF('Undian Kubus'!$D$24=C8,"R2-S1 (Rak2 kiri), ","")&amp;IF('Undian Kubus'!$E$24=C8,"R2-S2 (Rak2 tengah), ","")&amp;IF('Undian Kubus'!$F$24=C8,"R2-S3 (Rak2 kanan), ","")&amp;IF('Undian Kubus'!$G$24=C8,"R3-S1 (Rak3 kiri), ","")&amp;IF('Undian Kubus'!$H$24=C8,"R3-S2 (Rak3 tengah), ","")&amp;IF('Undian Kubus'!$I$24=C8,"R3-S3 (Rak3 kanan), ","")="","",IF(LEN(IF('Undian Kubus'!$A$24=C8,"R1-S1 (Rak1 kiri), ","")&amp;IF('Undian Kubus'!$B$24=C8,"R1-S2 (Rak1 tengah), ","")&amp;IF('Undian Kubus'!$C$24=C8,"R1-S3 (Rak1 kanan), ","")&amp;IF('Undian Kubus'!$D$24=C8,"R2-S1 (Rak2 kiri), ","")&amp;IF('Undian Kubus'!$E$24=C8,"R2-S2 (Rak2 tengah), ","")&amp;IF('Undian Kubus'!$F$24=C8,"R2-S3 (Rak2 kanan), ","")&amp;IF('Undian Kubus'!$G$24=C8,"R3-S1 (Rak3 kiri), ","")&amp;IF('Undian Kubus'!$H$24=C8,"R3-S2 (Rak3 tengah), ","")&amp;IF('Undian Kubus'!$I$24=C8,"R3-S3 (Rak3 kanan), ",""))&gt;2,LEFT(IF('Undian Kubus'!$A$24=C8,"R1-S1 (Rak1 kiri), ","")&amp;IF('Undian Kubus'!$B$24=C8,"R1-S2 (Rak1 tengah), ","")&amp;IF('Undian Kubus'!$C$24=C8,"R1-S3 (Rak1 kanan), ","")&amp;IF('Undian Kubus'!$D$24=C8,"R2-S1 (Rak2 kiri), ","")&amp;IF('Undian Kubus'!$E$24=C8,"R2-S2 (Rak2 tengah), ","")&amp;IF('Undian Kubus'!$F$24=C8,"R2-S3 (Rak2 kanan), ","")&amp;IF('Undian Kubus'!$G$24=C8,"R3-S1 (Rak3 kiri), ","")&amp;IF('Undian Kubus'!$H$24=C8,"R3-S2 (Rak3 tengah), ","")&amp;IF('Undian Kubus'!$I$24=C8,"R3-S3 (Rak3 kanan), ",""),LEN(IF('Undian Kubus'!$A$24=C8,"R1-S1 (Rak1 kiri), ","")&amp;IF('Undian Kubus'!$B$24=C8,"R1-S2 (Rak1 tengah), ","")&amp;IF('Undian Kubus'!$C$24=C8,"R1-S3 (Rak1 kanan), ","")&amp;IF('Undian Kubus'!$D$24=C8,"R2-S1 (Rak2 kiri), ","")&amp;IF('Undian Kubus'!$E$24=C8,"R2-S2 (Rak2 tengah), ","")&amp;IF('Undian Kubus'!$F$24=C8,"R2-S3 (Rak2 kanan), ","")&amp;IF('Undian Kubus'!$G$24=C8,"R3-S1 (Rak3 kiri), ","")&amp;IF('Undian Kubus'!$H$24=C8,"R3-S2 (Rak3 tengah), ","")&amp;IF('Undian Kubus'!$I$24=C8,"R3-S3 (Rak3 kanan), ",""))-2),IF('Undian Kubus'!$A$24=C8,"R1-S1 (Rak1 kiri), ","")&amp;IF('Undian Kubus'!$B$24=C8,"R1-S2 (Rak1 tengah), ","")&amp;IF('Undian Kubus'!$C$24=C8,"R1-S3 (Rak1 kanan), ","")&amp;IF('Undian Kubus'!$D$24=C8,"R2-S1 (Rak2 kiri), ","")&amp;IF('Undian Kubus'!$E$24=C8,"R2-S2 (Rak2 tengah), ","")&amp;IF('Undian Kubus'!$F$24=C8,"R2-S3 (Rak2 kanan), ","")&amp;IF('Undian Kubus'!$G$24=C8,"R3-S1 (Rak3 kiri), ","")&amp;IF('Undian Kubus'!$H$24=C8,"R3-S2 (Rak3 tengah), ","")&amp;IF('Undian Kubus'!$I$24=C8,"R3-S3 (Rak3 kanan), ",""))))))</f>
        <v/>
      </c>
      <c r="G8">
        <f>IF(B8="","",IFERROR(VLOOKUP(B8,'Undian Kubus'!$A$28:$I$36,7,FALSE),""))</f>
        <v/>
      </c>
      <c r="H8" t="n">
        <v>1</v>
      </c>
      <c r="I8">
        <f>60/9</f>
        <v/>
      </c>
      <c r="J8">
        <f>IF(H8="",0,H8*I8)</f>
        <v/>
      </c>
    </row>
    <row r="9">
      <c r="A9" t="n">
        <v>3</v>
      </c>
      <c r="B9">
        <f>IF('Undian Kubus'!A30="","",'Undian Kubus'!A30)</f>
        <v/>
      </c>
      <c r="C9">
        <f>IF(B9="","",VLOOKUP(B9,'Undian Kubus'!$A$10:$D$18,2,FALSE))</f>
        <v/>
      </c>
      <c r="D9">
        <f>IF(B9="","",VLOOKUP(B9,'Undian Kubus'!$A$10:$D$18,3,FALSE))</f>
        <v/>
      </c>
      <c r="E9">
        <f>IF(B9="","",IF(IFERROR(VLOOKUP(B9,'Undian Kubus'!$A$28:$I$36,5,FALSE),"")="","→ isi Rak/Stand &amp; Slot (sheet Undian Kubus)",IFERROR(VLOOKUP(B9,'Undian Kubus'!$A$28:$I$36,4,FALSE),"")))</f>
        <v/>
      </c>
      <c r="F9">
        <f>IF(B9="","",IF(C9="","",IF(COUNTA('Undian Kubus'!$A$24:$I$24)=0,"→ isi warna marker baris 24 (Undian)",IF(IF('Undian Kubus'!$A$24=C9,"R1-S1 (Rak1 kiri), ","")&amp;IF('Undian Kubus'!$B$24=C9,"R1-S2 (Rak1 tengah), ","")&amp;IF('Undian Kubus'!$C$24=C9,"R1-S3 (Rak1 kanan), ","")&amp;IF('Undian Kubus'!$D$24=C9,"R2-S1 (Rak2 kiri), ","")&amp;IF('Undian Kubus'!$E$24=C9,"R2-S2 (Rak2 tengah), ","")&amp;IF('Undian Kubus'!$F$24=C9,"R2-S3 (Rak2 kanan), ","")&amp;IF('Undian Kubus'!$G$24=C9,"R3-S1 (Rak3 kiri), ","")&amp;IF('Undian Kubus'!$H$24=C9,"R3-S2 (Rak3 tengah), ","")&amp;IF('Undian Kubus'!$I$24=C9,"R3-S3 (Rak3 kanan), ","")="","",IF(LEN(IF('Undian Kubus'!$A$24=C9,"R1-S1 (Rak1 kiri), ","")&amp;IF('Undian Kubus'!$B$24=C9,"R1-S2 (Rak1 tengah), ","")&amp;IF('Undian Kubus'!$C$24=C9,"R1-S3 (Rak1 kanan), ","")&amp;IF('Undian Kubus'!$D$24=C9,"R2-S1 (Rak2 kiri), ","")&amp;IF('Undian Kubus'!$E$24=C9,"R2-S2 (Rak2 tengah), ","")&amp;IF('Undian Kubus'!$F$24=C9,"R2-S3 (Rak2 kanan), ","")&amp;IF('Undian Kubus'!$G$24=C9,"R3-S1 (Rak3 kiri), ","")&amp;IF('Undian Kubus'!$H$24=C9,"R3-S2 (Rak3 tengah), ","")&amp;IF('Undian Kubus'!$I$24=C9,"R3-S3 (Rak3 kanan), ",""))&gt;2,LEFT(IF('Undian Kubus'!$A$24=C9,"R1-S1 (Rak1 kiri), ","")&amp;IF('Undian Kubus'!$B$24=C9,"R1-S2 (Rak1 tengah), ","")&amp;IF('Undian Kubus'!$C$24=C9,"R1-S3 (Rak1 kanan), ","")&amp;IF('Undian Kubus'!$D$24=C9,"R2-S1 (Rak2 kiri), ","")&amp;IF('Undian Kubus'!$E$24=C9,"R2-S2 (Rak2 tengah), ","")&amp;IF('Undian Kubus'!$F$24=C9,"R2-S3 (Rak2 kanan), ","")&amp;IF('Undian Kubus'!$G$24=C9,"R3-S1 (Rak3 kiri), ","")&amp;IF('Undian Kubus'!$H$24=C9,"R3-S2 (Rak3 tengah), ","")&amp;IF('Undian Kubus'!$I$24=C9,"R3-S3 (Rak3 kanan), ",""),LEN(IF('Undian Kubus'!$A$24=C9,"R1-S1 (Rak1 kiri), ","")&amp;IF('Undian Kubus'!$B$24=C9,"R1-S2 (Rak1 tengah), ","")&amp;IF('Undian Kubus'!$C$24=C9,"R1-S3 (Rak1 kanan), ","")&amp;IF('Undian Kubus'!$D$24=C9,"R2-S1 (Rak2 kiri), ","")&amp;IF('Undian Kubus'!$E$24=C9,"R2-S2 (Rak2 tengah), ","")&amp;IF('Undian Kubus'!$F$24=C9,"R2-S3 (Rak2 kanan), ","")&amp;IF('Undian Kubus'!$G$24=C9,"R3-S1 (Rak3 kiri), ","")&amp;IF('Undian Kubus'!$H$24=C9,"R3-S2 (Rak3 tengah), ","")&amp;IF('Undian Kubus'!$I$24=C9,"R3-S3 (Rak3 kanan), ",""))-2),IF('Undian Kubus'!$A$24=C9,"R1-S1 (Rak1 kiri), ","")&amp;IF('Undian Kubus'!$B$24=C9,"R1-S2 (Rak1 tengah), ","")&amp;IF('Undian Kubus'!$C$24=C9,"R1-S3 (Rak1 kanan), ","")&amp;IF('Undian Kubus'!$D$24=C9,"R2-S1 (Rak2 kiri), ","")&amp;IF('Undian Kubus'!$E$24=C9,"R2-S2 (Rak2 tengah), ","")&amp;IF('Undian Kubus'!$F$24=C9,"R2-S3 (Rak2 kanan), ","")&amp;IF('Undian Kubus'!$G$24=C9,"R3-S1 (Rak3 kiri), ","")&amp;IF('Undian Kubus'!$H$24=C9,"R3-S2 (Rak3 tengah), ","")&amp;IF('Undian Kubus'!$I$24=C9,"R3-S3 (Rak3 kanan), ",""))))))</f>
        <v/>
      </c>
      <c r="G9">
        <f>IF(B9="","",IFERROR(VLOOKUP(B9,'Undian Kubus'!$A$28:$I$36,7,FALSE),""))</f>
        <v/>
      </c>
      <c r="H9" t="n">
        <v>1</v>
      </c>
      <c r="I9">
        <f>60/9</f>
        <v/>
      </c>
      <c r="J9">
        <f>IF(H9="",0,H9*I9)</f>
        <v/>
      </c>
    </row>
    <row r="10">
      <c r="A10" t="n">
        <v>4</v>
      </c>
      <c r="B10">
        <f>IF('Undian Kubus'!A31="","",'Undian Kubus'!A31)</f>
        <v/>
      </c>
      <c r="C10">
        <f>IF(B10="","",VLOOKUP(B10,'Undian Kubus'!$A$10:$D$18,2,FALSE))</f>
        <v/>
      </c>
      <c r="D10">
        <f>IF(B10="","",VLOOKUP(B10,'Undian Kubus'!$A$10:$D$18,3,FALSE))</f>
        <v/>
      </c>
      <c r="E10">
        <f>IF(B10="","",IF(IFERROR(VLOOKUP(B10,'Undian Kubus'!$A$28:$I$36,5,FALSE),"")="","→ isi Rak/Stand &amp; Slot (sheet Undian Kubus)",IFERROR(VLOOKUP(B10,'Undian Kubus'!$A$28:$I$36,4,FALSE),"")))</f>
        <v/>
      </c>
      <c r="F10">
        <f>IF(B10="","",IF(C10="","",IF(COUNTA('Undian Kubus'!$A$24:$I$24)=0,"→ isi warna marker baris 24 (Undian)",IF(IF('Undian Kubus'!$A$24=C10,"R1-S1 (Rak1 kiri), ","")&amp;IF('Undian Kubus'!$B$24=C10,"R1-S2 (Rak1 tengah), ","")&amp;IF('Undian Kubus'!$C$24=C10,"R1-S3 (Rak1 kanan), ","")&amp;IF('Undian Kubus'!$D$24=C10,"R2-S1 (Rak2 kiri), ","")&amp;IF('Undian Kubus'!$E$24=C10,"R2-S2 (Rak2 tengah), ","")&amp;IF('Undian Kubus'!$F$24=C10,"R2-S3 (Rak2 kanan), ","")&amp;IF('Undian Kubus'!$G$24=C10,"R3-S1 (Rak3 kiri), ","")&amp;IF('Undian Kubus'!$H$24=C10,"R3-S2 (Rak3 tengah), ","")&amp;IF('Undian Kubus'!$I$24=C10,"R3-S3 (Rak3 kanan), ","")="","",IF(LEN(IF('Undian Kubus'!$A$24=C10,"R1-S1 (Rak1 kiri), ","")&amp;IF('Undian Kubus'!$B$24=C10,"R1-S2 (Rak1 tengah), ","")&amp;IF('Undian Kubus'!$C$24=C10,"R1-S3 (Rak1 kanan), ","")&amp;IF('Undian Kubus'!$D$24=C10,"R2-S1 (Rak2 kiri), ","")&amp;IF('Undian Kubus'!$E$24=C10,"R2-S2 (Rak2 tengah), ","")&amp;IF('Undian Kubus'!$F$24=C10,"R2-S3 (Rak2 kanan), ","")&amp;IF('Undian Kubus'!$G$24=C10,"R3-S1 (Rak3 kiri), ","")&amp;IF('Undian Kubus'!$H$24=C10,"R3-S2 (Rak3 tengah), ","")&amp;IF('Undian Kubus'!$I$24=C10,"R3-S3 (Rak3 kanan), ",""))&gt;2,LEFT(IF('Undian Kubus'!$A$24=C10,"R1-S1 (Rak1 kiri), ","")&amp;IF('Undian Kubus'!$B$24=C10,"R1-S2 (Rak1 tengah), ","")&amp;IF('Undian Kubus'!$C$24=C10,"R1-S3 (Rak1 kanan), ","")&amp;IF('Undian Kubus'!$D$24=C10,"R2-S1 (Rak2 kiri), ","")&amp;IF('Undian Kubus'!$E$24=C10,"R2-S2 (Rak2 tengah), ","")&amp;IF('Undian Kubus'!$F$24=C10,"R2-S3 (Rak2 kanan), ","")&amp;IF('Undian Kubus'!$G$24=C10,"R3-S1 (Rak3 kiri), ","")&amp;IF('Undian Kubus'!$H$24=C10,"R3-S2 (Rak3 tengah), ","")&amp;IF('Undian Kubus'!$I$24=C10,"R3-S3 (Rak3 kanan), ",""),LEN(IF('Undian Kubus'!$A$24=C10,"R1-S1 (Rak1 kiri), ","")&amp;IF('Undian Kubus'!$B$24=C10,"R1-S2 (Rak1 tengah), ","")&amp;IF('Undian Kubus'!$C$24=C10,"R1-S3 (Rak1 kanan), ","")&amp;IF('Undian Kubus'!$D$24=C10,"R2-S1 (Rak2 kiri), ","")&amp;IF('Undian Kubus'!$E$24=C10,"R2-S2 (Rak2 tengah), ","")&amp;IF('Undian Kubus'!$F$24=C10,"R2-S3 (Rak2 kanan), ","")&amp;IF('Undian Kubus'!$G$24=C10,"R3-S1 (Rak3 kiri), ","")&amp;IF('Undian Kubus'!$H$24=C10,"R3-S2 (Rak3 tengah), ","")&amp;IF('Undian Kubus'!$I$24=C10,"R3-S3 (Rak3 kanan), ",""))-2),IF('Undian Kubus'!$A$24=C10,"R1-S1 (Rak1 kiri), ","")&amp;IF('Undian Kubus'!$B$24=C10,"R1-S2 (Rak1 tengah), ","")&amp;IF('Undian Kubus'!$C$24=C10,"R1-S3 (Rak1 kanan), ","")&amp;IF('Undian Kubus'!$D$24=C10,"R2-S1 (Rak2 kiri), ","")&amp;IF('Undian Kubus'!$E$24=C10,"R2-S2 (Rak2 tengah), ","")&amp;IF('Undian Kubus'!$F$24=C10,"R2-S3 (Rak2 kanan), ","")&amp;IF('Undian Kubus'!$G$24=C10,"R3-S1 (Rak3 kiri), ","")&amp;IF('Undian Kubus'!$H$24=C10,"R3-S2 (Rak3 tengah), ","")&amp;IF('Undian Kubus'!$I$24=C10,"R3-S3 (Rak3 kanan), ",""))))))</f>
        <v/>
      </c>
      <c r="G10">
        <f>IF(B10="","",IFERROR(VLOOKUP(B10,'Undian Kubus'!$A$28:$I$36,7,FALSE),""))</f>
        <v/>
      </c>
      <c r="H10" t="n">
        <v>1</v>
      </c>
      <c r="I10">
        <f>60/9</f>
        <v/>
      </c>
      <c r="J10">
        <f>IF(H10="",0,H10*I10)</f>
        <v/>
      </c>
    </row>
    <row r="11">
      <c r="A11" t="n">
        <v>5</v>
      </c>
      <c r="B11">
        <f>IF('Undian Kubus'!A32="","",'Undian Kubus'!A32)</f>
        <v/>
      </c>
      <c r="C11">
        <f>IF(B11="","",VLOOKUP(B11,'Undian Kubus'!$A$10:$D$18,2,FALSE))</f>
        <v/>
      </c>
      <c r="D11">
        <f>IF(B11="","",VLOOKUP(B11,'Undian Kubus'!$A$10:$D$18,3,FALSE))</f>
        <v/>
      </c>
      <c r="E11">
        <f>IF(B11="","",IF(IFERROR(VLOOKUP(B11,'Undian Kubus'!$A$28:$I$36,5,FALSE),"")="","→ isi Rak/Stand &amp; Slot (sheet Undian Kubus)",IFERROR(VLOOKUP(B11,'Undian Kubus'!$A$28:$I$36,4,FALSE),"")))</f>
        <v/>
      </c>
      <c r="F11">
        <f>IF(B11="","",IF(C11="","",IF(COUNTA('Undian Kubus'!$A$24:$I$24)=0,"→ isi warna marker baris 24 (Undian)",IF(IF('Undian Kubus'!$A$24=C11,"R1-S1 (Rak1 kiri), ","")&amp;IF('Undian Kubus'!$B$24=C11,"R1-S2 (Rak1 tengah), ","")&amp;IF('Undian Kubus'!$C$24=C11,"R1-S3 (Rak1 kanan), ","")&amp;IF('Undian Kubus'!$D$24=C11,"R2-S1 (Rak2 kiri), ","")&amp;IF('Undian Kubus'!$E$24=C11,"R2-S2 (Rak2 tengah), ","")&amp;IF('Undian Kubus'!$F$24=C11,"R2-S3 (Rak2 kanan), ","")&amp;IF('Undian Kubus'!$G$24=C11,"R3-S1 (Rak3 kiri), ","")&amp;IF('Undian Kubus'!$H$24=C11,"R3-S2 (Rak3 tengah), ","")&amp;IF('Undian Kubus'!$I$24=C11,"R3-S3 (Rak3 kanan), ","")="","",IF(LEN(IF('Undian Kubus'!$A$24=C11,"R1-S1 (Rak1 kiri), ","")&amp;IF('Undian Kubus'!$B$24=C11,"R1-S2 (Rak1 tengah), ","")&amp;IF('Undian Kubus'!$C$24=C11,"R1-S3 (Rak1 kanan), ","")&amp;IF('Undian Kubus'!$D$24=C11,"R2-S1 (Rak2 kiri), ","")&amp;IF('Undian Kubus'!$E$24=C11,"R2-S2 (Rak2 tengah), ","")&amp;IF('Undian Kubus'!$F$24=C11,"R2-S3 (Rak2 kanan), ","")&amp;IF('Undian Kubus'!$G$24=C11,"R3-S1 (Rak3 kiri), ","")&amp;IF('Undian Kubus'!$H$24=C11,"R3-S2 (Rak3 tengah), ","")&amp;IF('Undian Kubus'!$I$24=C11,"R3-S3 (Rak3 kanan), ",""))&gt;2,LEFT(IF('Undian Kubus'!$A$24=C11,"R1-S1 (Rak1 kiri), ","")&amp;IF('Undian Kubus'!$B$24=C11,"R1-S2 (Rak1 tengah), ","")&amp;IF('Undian Kubus'!$C$24=C11,"R1-S3 (Rak1 kanan), ","")&amp;IF('Undian Kubus'!$D$24=C11,"R2-S1 (Rak2 kiri), ","")&amp;IF('Undian Kubus'!$E$24=C11,"R2-S2 (Rak2 tengah), ","")&amp;IF('Undian Kubus'!$F$24=C11,"R2-S3 (Rak2 kanan), ","")&amp;IF('Undian Kubus'!$G$24=C11,"R3-S1 (Rak3 kiri), ","")&amp;IF('Undian Kubus'!$H$24=C11,"R3-S2 (Rak3 tengah), ","")&amp;IF('Undian Kubus'!$I$24=C11,"R3-S3 (Rak3 kanan), ",""),LEN(IF('Undian Kubus'!$A$24=C11,"R1-S1 (Rak1 kiri), ","")&amp;IF('Undian Kubus'!$B$24=C11,"R1-S2 (Rak1 tengah), ","")&amp;IF('Undian Kubus'!$C$24=C11,"R1-S3 (Rak1 kanan), ","")&amp;IF('Undian Kubus'!$D$24=C11,"R2-S1 (Rak2 kiri), ","")&amp;IF('Undian Kubus'!$E$24=C11,"R2-S2 (Rak2 tengah), ","")&amp;IF('Undian Kubus'!$F$24=C11,"R2-S3 (Rak2 kanan), ","")&amp;IF('Undian Kubus'!$G$24=C11,"R3-S1 (Rak3 kiri), ","")&amp;IF('Undian Kubus'!$H$24=C11,"R3-S2 (Rak3 tengah), ","")&amp;IF('Undian Kubus'!$I$24=C11,"R3-S3 (Rak3 kanan), ",""))-2),IF('Undian Kubus'!$A$24=C11,"R1-S1 (Rak1 kiri), ","")&amp;IF('Undian Kubus'!$B$24=C11,"R1-S2 (Rak1 tengah), ","")&amp;IF('Undian Kubus'!$C$24=C11,"R1-S3 (Rak1 kanan), ","")&amp;IF('Undian Kubus'!$D$24=C11,"R2-S1 (Rak2 kiri), ","")&amp;IF('Undian Kubus'!$E$24=C11,"R2-S2 (Rak2 tengah), ","")&amp;IF('Undian Kubus'!$F$24=C11,"R2-S3 (Rak2 kanan), ","")&amp;IF('Undian Kubus'!$G$24=C11,"R3-S1 (Rak3 kiri), ","")&amp;IF('Undian Kubus'!$H$24=C11,"R3-S2 (Rak3 tengah), ","")&amp;IF('Undian Kubus'!$I$24=C11,"R3-S3 (Rak3 kanan), ",""))))))</f>
        <v/>
      </c>
      <c r="G11">
        <f>IF(B11="","",IFERROR(VLOOKUP(B11,'Undian Kubus'!$A$28:$I$36,7,FALSE),""))</f>
        <v/>
      </c>
      <c r="H11" t="n">
        <v>0</v>
      </c>
      <c r="I11">
        <f>60/9</f>
        <v/>
      </c>
      <c r="J11">
        <f>IF(H11="",0,H11*I11)</f>
        <v/>
      </c>
    </row>
    <row r="12">
      <c r="A12" t="n">
        <v>6</v>
      </c>
      <c r="B12">
        <f>IF('Undian Kubus'!A33="","",'Undian Kubus'!A33)</f>
        <v/>
      </c>
      <c r="C12">
        <f>IF(B12="","",VLOOKUP(B12,'Undian Kubus'!$A$10:$D$18,2,FALSE))</f>
        <v/>
      </c>
      <c r="D12">
        <f>IF(B12="","",VLOOKUP(B12,'Undian Kubus'!$A$10:$D$18,3,FALSE))</f>
        <v/>
      </c>
      <c r="E12">
        <f>IF(B12="","",IF(IFERROR(VLOOKUP(B12,'Undian Kubus'!$A$28:$I$36,5,FALSE),"")="","→ isi Rak/Stand &amp; Slot (sheet Undian Kubus)",IFERROR(VLOOKUP(B12,'Undian Kubus'!$A$28:$I$36,4,FALSE),"")))</f>
        <v/>
      </c>
      <c r="F12">
        <f>IF(B12="","",IF(C12="","",IF(COUNTA('Undian Kubus'!$A$24:$I$24)=0,"→ isi warna marker baris 24 (Undian)",IF(IF('Undian Kubus'!$A$24=C12,"R1-S1 (Rak1 kiri), ","")&amp;IF('Undian Kubus'!$B$24=C12,"R1-S2 (Rak1 tengah), ","")&amp;IF('Undian Kubus'!$C$24=C12,"R1-S3 (Rak1 kanan), ","")&amp;IF('Undian Kubus'!$D$24=C12,"R2-S1 (Rak2 kiri), ","")&amp;IF('Undian Kubus'!$E$24=C12,"R2-S2 (Rak2 tengah), ","")&amp;IF('Undian Kubus'!$F$24=C12,"R2-S3 (Rak2 kanan), ","")&amp;IF('Undian Kubus'!$G$24=C12,"R3-S1 (Rak3 kiri), ","")&amp;IF('Undian Kubus'!$H$24=C12,"R3-S2 (Rak3 tengah), ","")&amp;IF('Undian Kubus'!$I$24=C12,"R3-S3 (Rak3 kanan), ","")="","",IF(LEN(IF('Undian Kubus'!$A$24=C12,"R1-S1 (Rak1 kiri), ","")&amp;IF('Undian Kubus'!$B$24=C12,"R1-S2 (Rak1 tengah), ","")&amp;IF('Undian Kubus'!$C$24=C12,"R1-S3 (Rak1 kanan), ","")&amp;IF('Undian Kubus'!$D$24=C12,"R2-S1 (Rak2 kiri), ","")&amp;IF('Undian Kubus'!$E$24=C12,"R2-S2 (Rak2 tengah), ","")&amp;IF('Undian Kubus'!$F$24=C12,"R2-S3 (Rak2 kanan), ","")&amp;IF('Undian Kubus'!$G$24=C12,"R3-S1 (Rak3 kiri), ","")&amp;IF('Undian Kubus'!$H$24=C12,"R3-S2 (Rak3 tengah), ","")&amp;IF('Undian Kubus'!$I$24=C12,"R3-S3 (Rak3 kanan), ",""))&gt;2,LEFT(IF('Undian Kubus'!$A$24=C12,"R1-S1 (Rak1 kiri), ","")&amp;IF('Undian Kubus'!$B$24=C12,"R1-S2 (Rak1 tengah), ","")&amp;IF('Undian Kubus'!$C$24=C12,"R1-S3 (Rak1 kanan), ","")&amp;IF('Undian Kubus'!$D$24=C12,"R2-S1 (Rak2 kiri), ","")&amp;IF('Undian Kubus'!$E$24=C12,"R2-S2 (Rak2 tengah), ","")&amp;IF('Undian Kubus'!$F$24=C12,"R2-S3 (Rak2 kanan), ","")&amp;IF('Undian Kubus'!$G$24=C12,"R3-S1 (Rak3 kiri), ","")&amp;IF('Undian Kubus'!$H$24=C12,"R3-S2 (Rak3 tengah), ","")&amp;IF('Undian Kubus'!$I$24=C12,"R3-S3 (Rak3 kanan), ",""),LEN(IF('Undian Kubus'!$A$24=C12,"R1-S1 (Rak1 kiri), ","")&amp;IF('Undian Kubus'!$B$24=C12,"R1-S2 (Rak1 tengah), ","")&amp;IF('Undian Kubus'!$C$24=C12,"R1-S3 (Rak1 kanan), ","")&amp;IF('Undian Kubus'!$D$24=C12,"R2-S1 (Rak2 kiri), ","")&amp;IF('Undian Kubus'!$E$24=C12,"R2-S2 (Rak2 tengah), ","")&amp;IF('Undian Kubus'!$F$24=C12,"R2-S3 (Rak2 kanan), ","")&amp;IF('Undian Kubus'!$G$24=C12,"R3-S1 (Rak3 kiri), ","")&amp;IF('Undian Kubus'!$H$24=C12,"R3-S2 (Rak3 tengah), ","")&amp;IF('Undian Kubus'!$I$24=C12,"R3-S3 (Rak3 kanan), ",""))-2),IF('Undian Kubus'!$A$24=C12,"R1-S1 (Rak1 kiri), ","")&amp;IF('Undian Kubus'!$B$24=C12,"R1-S2 (Rak1 tengah), ","")&amp;IF('Undian Kubus'!$C$24=C12,"R1-S3 (Rak1 kanan), ","")&amp;IF('Undian Kubus'!$D$24=C12,"R2-S1 (Rak2 kiri), ","")&amp;IF('Undian Kubus'!$E$24=C12,"R2-S2 (Rak2 tengah), ","")&amp;IF('Undian Kubus'!$F$24=C12,"R2-S3 (Rak2 kanan), ","")&amp;IF('Undian Kubus'!$G$24=C12,"R3-S1 (Rak3 kiri), ","")&amp;IF('Undian Kubus'!$H$24=C12,"R3-S2 (Rak3 tengah), ","")&amp;IF('Undian Kubus'!$I$24=C12,"R3-S3 (Rak3 kanan), ",""))))))</f>
        <v/>
      </c>
      <c r="G12">
        <f>IF(B12="","",IFERROR(VLOOKUP(B12,'Undian Kubus'!$A$28:$I$36,7,FALSE),""))</f>
        <v/>
      </c>
      <c r="H12" t="n">
        <v>1</v>
      </c>
      <c r="I12">
        <f>60/9</f>
        <v/>
      </c>
      <c r="J12">
        <f>IF(H12="",0,H12*I12)</f>
        <v/>
      </c>
    </row>
    <row r="13">
      <c r="A13" t="n">
        <v>7</v>
      </c>
      <c r="B13">
        <f>IF('Undian Kubus'!A34="","",'Undian Kubus'!A34)</f>
        <v/>
      </c>
      <c r="C13">
        <f>IF(B13="","",VLOOKUP(B13,'Undian Kubus'!$A$10:$D$18,2,FALSE))</f>
        <v/>
      </c>
      <c r="D13">
        <f>IF(B13="","",VLOOKUP(B13,'Undian Kubus'!$A$10:$D$18,3,FALSE))</f>
        <v/>
      </c>
      <c r="E13">
        <f>IF(B13="","",IF(IFERROR(VLOOKUP(B13,'Undian Kubus'!$A$28:$I$36,5,FALSE),"")="","→ isi Rak/Stand &amp; Slot (sheet Undian Kubus)",IFERROR(VLOOKUP(B13,'Undian Kubus'!$A$28:$I$36,4,FALSE),"")))</f>
        <v/>
      </c>
      <c r="F13">
        <f>IF(B13="","",IF(C13="","",IF(COUNTA('Undian Kubus'!$A$24:$I$24)=0,"→ isi warna marker baris 24 (Undian)",IF(IF('Undian Kubus'!$A$24=C13,"R1-S1 (Rak1 kiri), ","")&amp;IF('Undian Kubus'!$B$24=C13,"R1-S2 (Rak1 tengah), ","")&amp;IF('Undian Kubus'!$C$24=C13,"R1-S3 (Rak1 kanan), ","")&amp;IF('Undian Kubus'!$D$24=C13,"R2-S1 (Rak2 kiri), ","")&amp;IF('Undian Kubus'!$E$24=C13,"R2-S2 (Rak2 tengah), ","")&amp;IF('Undian Kubus'!$F$24=C13,"R2-S3 (Rak2 kanan), ","")&amp;IF('Undian Kubus'!$G$24=C13,"R3-S1 (Rak3 kiri), ","")&amp;IF('Undian Kubus'!$H$24=C13,"R3-S2 (Rak3 tengah), ","")&amp;IF('Undian Kubus'!$I$24=C13,"R3-S3 (Rak3 kanan), ","")="","",IF(LEN(IF('Undian Kubus'!$A$24=C13,"R1-S1 (Rak1 kiri), ","")&amp;IF('Undian Kubus'!$B$24=C13,"R1-S2 (Rak1 tengah), ","")&amp;IF('Undian Kubus'!$C$24=C13,"R1-S3 (Rak1 kanan), ","")&amp;IF('Undian Kubus'!$D$24=C13,"R2-S1 (Rak2 kiri), ","")&amp;IF('Undian Kubus'!$E$24=C13,"R2-S2 (Rak2 tengah), ","")&amp;IF('Undian Kubus'!$F$24=C13,"R2-S3 (Rak2 kanan), ","")&amp;IF('Undian Kubus'!$G$24=C13,"R3-S1 (Rak3 kiri), ","")&amp;IF('Undian Kubus'!$H$24=C13,"R3-S2 (Rak3 tengah), ","")&amp;IF('Undian Kubus'!$I$24=C13,"R3-S3 (Rak3 kanan), ",""))&gt;2,LEFT(IF('Undian Kubus'!$A$24=C13,"R1-S1 (Rak1 kiri), ","")&amp;IF('Undian Kubus'!$B$24=C13,"R1-S2 (Rak1 tengah), ","")&amp;IF('Undian Kubus'!$C$24=C13,"R1-S3 (Rak1 kanan), ","")&amp;IF('Undian Kubus'!$D$24=C13,"R2-S1 (Rak2 kiri), ","")&amp;IF('Undian Kubus'!$E$24=C13,"R2-S2 (Rak2 tengah), ","")&amp;IF('Undian Kubus'!$F$24=C13,"R2-S3 (Rak2 kanan), ","")&amp;IF('Undian Kubus'!$G$24=C13,"R3-S1 (Rak3 kiri), ","")&amp;IF('Undian Kubus'!$H$24=C13,"R3-S2 (Rak3 tengah), ","")&amp;IF('Undian Kubus'!$I$24=C13,"R3-S3 (Rak3 kanan), ",""),LEN(IF('Undian Kubus'!$A$24=C13,"R1-S1 (Rak1 kiri), ","")&amp;IF('Undian Kubus'!$B$24=C13,"R1-S2 (Rak1 tengah), ","")&amp;IF('Undian Kubus'!$C$24=C13,"R1-S3 (Rak1 kanan), ","")&amp;IF('Undian Kubus'!$D$24=C13,"R2-S1 (Rak2 kiri), ","")&amp;IF('Undian Kubus'!$E$24=C13,"R2-S2 (Rak2 tengah), ","")&amp;IF('Undian Kubus'!$F$24=C13,"R2-S3 (Rak2 kanan), ","")&amp;IF('Undian Kubus'!$G$24=C13,"R3-S1 (Rak3 kiri), ","")&amp;IF('Undian Kubus'!$H$24=C13,"R3-S2 (Rak3 tengah), ","")&amp;IF('Undian Kubus'!$I$24=C13,"R3-S3 (Rak3 kanan), ",""))-2),IF('Undian Kubus'!$A$24=C13,"R1-S1 (Rak1 kiri), ","")&amp;IF('Undian Kubus'!$B$24=C13,"R1-S2 (Rak1 tengah), ","")&amp;IF('Undian Kubus'!$C$24=C13,"R1-S3 (Rak1 kanan), ","")&amp;IF('Undian Kubus'!$D$24=C13,"R2-S1 (Rak2 kiri), ","")&amp;IF('Undian Kubus'!$E$24=C13,"R2-S2 (Rak2 tengah), ","")&amp;IF('Undian Kubus'!$F$24=C13,"R2-S3 (Rak2 kanan), ","")&amp;IF('Undian Kubus'!$G$24=C13,"R3-S1 (Rak3 kiri), ","")&amp;IF('Undian Kubus'!$H$24=C13,"R3-S2 (Rak3 tengah), ","")&amp;IF('Undian Kubus'!$I$24=C13,"R3-S3 (Rak3 kanan), ",""))))))</f>
        <v/>
      </c>
      <c r="G13">
        <f>IF(B13="","",IFERROR(VLOOKUP(B13,'Undian Kubus'!$A$28:$I$36,7,FALSE),""))</f>
        <v/>
      </c>
      <c r="H13" t="n">
        <v>1</v>
      </c>
      <c r="I13">
        <f>60/9</f>
        <v/>
      </c>
      <c r="J13">
        <f>IF(H13="",0,H13*I13)</f>
        <v/>
      </c>
    </row>
    <row r="14">
      <c r="A14" t="n">
        <v>8</v>
      </c>
      <c r="B14">
        <f>IF('Undian Kubus'!A35="","",'Undian Kubus'!A35)</f>
        <v/>
      </c>
      <c r="C14">
        <f>IF(B14="","",VLOOKUP(B14,'Undian Kubus'!$A$10:$D$18,2,FALSE))</f>
        <v/>
      </c>
      <c r="D14">
        <f>IF(B14="","",VLOOKUP(B14,'Undian Kubus'!$A$10:$D$18,3,FALSE))</f>
        <v/>
      </c>
      <c r="E14">
        <f>IF(B14="","",IF(IFERROR(VLOOKUP(B14,'Undian Kubus'!$A$28:$I$36,5,FALSE),"")="","→ isi Rak/Stand &amp; Slot (sheet Undian Kubus)",IFERROR(VLOOKUP(B14,'Undian Kubus'!$A$28:$I$36,4,FALSE),"")))</f>
        <v/>
      </c>
      <c r="F14">
        <f>IF(B14="","",IF(C14="","",IF(COUNTA('Undian Kubus'!$A$24:$I$24)=0,"→ isi warna marker baris 24 (Undian)",IF(IF('Undian Kubus'!$A$24=C14,"R1-S1 (Rak1 kiri), ","")&amp;IF('Undian Kubus'!$B$24=C14,"R1-S2 (Rak1 tengah), ","")&amp;IF('Undian Kubus'!$C$24=C14,"R1-S3 (Rak1 kanan), ","")&amp;IF('Undian Kubus'!$D$24=C14,"R2-S1 (Rak2 kiri), ","")&amp;IF('Undian Kubus'!$E$24=C14,"R2-S2 (Rak2 tengah), ","")&amp;IF('Undian Kubus'!$F$24=C14,"R2-S3 (Rak2 kanan), ","")&amp;IF('Undian Kubus'!$G$24=C14,"R3-S1 (Rak3 kiri), ","")&amp;IF('Undian Kubus'!$H$24=C14,"R3-S2 (Rak3 tengah), ","")&amp;IF('Undian Kubus'!$I$24=C14,"R3-S3 (Rak3 kanan), ","")="","",IF(LEN(IF('Undian Kubus'!$A$24=C14,"R1-S1 (Rak1 kiri), ","")&amp;IF('Undian Kubus'!$B$24=C14,"R1-S2 (Rak1 tengah), ","")&amp;IF('Undian Kubus'!$C$24=C14,"R1-S3 (Rak1 kanan), ","")&amp;IF('Undian Kubus'!$D$24=C14,"R2-S1 (Rak2 kiri), ","")&amp;IF('Undian Kubus'!$E$24=C14,"R2-S2 (Rak2 tengah), ","")&amp;IF('Undian Kubus'!$F$24=C14,"R2-S3 (Rak2 kanan), ","")&amp;IF('Undian Kubus'!$G$24=C14,"R3-S1 (Rak3 kiri), ","")&amp;IF('Undian Kubus'!$H$24=C14,"R3-S2 (Rak3 tengah), ","")&amp;IF('Undian Kubus'!$I$24=C14,"R3-S3 (Rak3 kanan), ",""))&gt;2,LEFT(IF('Undian Kubus'!$A$24=C14,"R1-S1 (Rak1 kiri), ","")&amp;IF('Undian Kubus'!$B$24=C14,"R1-S2 (Rak1 tengah), ","")&amp;IF('Undian Kubus'!$C$24=C14,"R1-S3 (Rak1 kanan), ","")&amp;IF('Undian Kubus'!$D$24=C14,"R2-S1 (Rak2 kiri), ","")&amp;IF('Undian Kubus'!$E$24=C14,"R2-S2 (Rak2 tengah), ","")&amp;IF('Undian Kubus'!$F$24=C14,"R2-S3 (Rak2 kanan), ","")&amp;IF('Undian Kubus'!$G$24=C14,"R3-S1 (Rak3 kiri), ","")&amp;IF('Undian Kubus'!$H$24=C14,"R3-S2 (Rak3 tengah), ","")&amp;IF('Undian Kubus'!$I$24=C14,"R3-S3 (Rak3 kanan), ",""),LEN(IF('Undian Kubus'!$A$24=C14,"R1-S1 (Rak1 kiri), ","")&amp;IF('Undian Kubus'!$B$24=C14,"R1-S2 (Rak1 tengah), ","")&amp;IF('Undian Kubus'!$C$24=C14,"R1-S3 (Rak1 kanan), ","")&amp;IF('Undian Kubus'!$D$24=C14,"R2-S1 (Rak2 kiri), ","")&amp;IF('Undian Kubus'!$E$24=C14,"R2-S2 (Rak2 tengah), ","")&amp;IF('Undian Kubus'!$F$24=C14,"R2-S3 (Rak2 kanan), ","")&amp;IF('Undian Kubus'!$G$24=C14,"R3-S1 (Rak3 kiri), ","")&amp;IF('Undian Kubus'!$H$24=C14,"R3-S2 (Rak3 tengah), ","")&amp;IF('Undian Kubus'!$I$24=C14,"R3-S3 (Rak3 kanan), ",""))-2),IF('Undian Kubus'!$A$24=C14,"R1-S1 (Rak1 kiri), ","")&amp;IF('Undian Kubus'!$B$24=C14,"R1-S2 (Rak1 tengah), ","")&amp;IF('Undian Kubus'!$C$24=C14,"R1-S3 (Rak1 kanan), ","")&amp;IF('Undian Kubus'!$D$24=C14,"R2-S1 (Rak2 kiri), ","")&amp;IF('Undian Kubus'!$E$24=C14,"R2-S2 (Rak2 tengah), ","")&amp;IF('Undian Kubus'!$F$24=C14,"R2-S3 (Rak2 kanan), ","")&amp;IF('Undian Kubus'!$G$24=C14,"R3-S1 (Rak3 kiri), ","")&amp;IF('Undian Kubus'!$H$24=C14,"R3-S2 (Rak3 tengah), ","")&amp;IF('Undian Kubus'!$I$24=C14,"R3-S3 (Rak3 kanan), ",""))))))</f>
        <v/>
      </c>
      <c r="G14">
        <f>IF(B14="","",IFERROR(VLOOKUP(B14,'Undian Kubus'!$A$28:$I$36,7,FALSE),""))</f>
        <v/>
      </c>
      <c r="H14" t="n">
        <v>1</v>
      </c>
      <c r="I14">
        <f>60/9</f>
        <v/>
      </c>
      <c r="J14">
        <f>IF(H14="",0,H14*I14)</f>
        <v/>
      </c>
    </row>
    <row r="15">
      <c r="A15" t="n">
        <v>9</v>
      </c>
      <c r="B15">
        <f>IF('Undian Kubus'!A36="","",'Undian Kubus'!A36)</f>
        <v/>
      </c>
      <c r="C15">
        <f>IF(B15="","",VLOOKUP(B15,'Undian Kubus'!$A$10:$D$18,2,FALSE))</f>
        <v/>
      </c>
      <c r="D15">
        <f>IF(B15="","",VLOOKUP(B15,'Undian Kubus'!$A$10:$D$18,3,FALSE))</f>
        <v/>
      </c>
      <c r="E15">
        <f>IF(B15="","",IF(IFERROR(VLOOKUP(B15,'Undian Kubus'!$A$28:$I$36,5,FALSE),"")="","→ isi Rak/Stand &amp; Slot (sheet Undian Kubus)",IFERROR(VLOOKUP(B15,'Undian Kubus'!$A$28:$I$36,4,FALSE),"")))</f>
        <v/>
      </c>
      <c r="F15">
        <f>IF(B15="","",IF(C15="","",IF(COUNTA('Undian Kubus'!$A$24:$I$24)=0,"→ isi warna marker baris 24 (Undian)",IF(IF('Undian Kubus'!$A$24=C15,"R1-S1 (Rak1 kiri), ","")&amp;IF('Undian Kubus'!$B$24=C15,"R1-S2 (Rak1 tengah), ","")&amp;IF('Undian Kubus'!$C$24=C15,"R1-S3 (Rak1 kanan), ","")&amp;IF('Undian Kubus'!$D$24=C15,"R2-S1 (Rak2 kiri), ","")&amp;IF('Undian Kubus'!$E$24=C15,"R2-S2 (Rak2 tengah), ","")&amp;IF('Undian Kubus'!$F$24=C15,"R2-S3 (Rak2 kanan), ","")&amp;IF('Undian Kubus'!$G$24=C15,"R3-S1 (Rak3 kiri), ","")&amp;IF('Undian Kubus'!$H$24=C15,"R3-S2 (Rak3 tengah), ","")&amp;IF('Undian Kubus'!$I$24=C15,"R3-S3 (Rak3 kanan), ","")="","",IF(LEN(IF('Undian Kubus'!$A$24=C15,"R1-S1 (Rak1 kiri), ","")&amp;IF('Undian Kubus'!$B$24=C15,"R1-S2 (Rak1 tengah), ","")&amp;IF('Undian Kubus'!$C$24=C15,"R1-S3 (Rak1 kanan), ","")&amp;IF('Undian Kubus'!$D$24=C15,"R2-S1 (Rak2 kiri), ","")&amp;IF('Undian Kubus'!$E$24=C15,"R2-S2 (Rak2 tengah), ","")&amp;IF('Undian Kubus'!$F$24=C15,"R2-S3 (Rak2 kanan), ","")&amp;IF('Undian Kubus'!$G$24=C15,"R3-S1 (Rak3 kiri), ","")&amp;IF('Undian Kubus'!$H$24=C15,"R3-S2 (Rak3 tengah), ","")&amp;IF('Undian Kubus'!$I$24=C15,"R3-S3 (Rak3 kanan), ",""))&gt;2,LEFT(IF('Undian Kubus'!$A$24=C15,"R1-S1 (Rak1 kiri), ","")&amp;IF('Undian Kubus'!$B$24=C15,"R1-S2 (Rak1 tengah), ","")&amp;IF('Undian Kubus'!$C$24=C15,"R1-S3 (Rak1 kanan), ","")&amp;IF('Undian Kubus'!$D$24=C15,"R2-S1 (Rak2 kiri), ","")&amp;IF('Undian Kubus'!$E$24=C15,"R2-S2 (Rak2 tengah), ","")&amp;IF('Undian Kubus'!$F$24=C15,"R2-S3 (Rak2 kanan), ","")&amp;IF('Undian Kubus'!$G$24=C15,"R3-S1 (Rak3 kiri), ","")&amp;IF('Undian Kubus'!$H$24=C15,"R3-S2 (Rak3 tengah), ","")&amp;IF('Undian Kubus'!$I$24=C15,"R3-S3 (Rak3 kanan), ",""),LEN(IF('Undian Kubus'!$A$24=C15,"R1-S1 (Rak1 kiri), ","")&amp;IF('Undian Kubus'!$B$24=C15,"R1-S2 (Rak1 tengah), ","")&amp;IF('Undian Kubus'!$C$24=C15,"R1-S3 (Rak1 kanan), ","")&amp;IF('Undian Kubus'!$D$24=C15,"R2-S1 (Rak2 kiri), ","")&amp;IF('Undian Kubus'!$E$24=C15,"R2-S2 (Rak2 tengah), ","")&amp;IF('Undian Kubus'!$F$24=C15,"R2-S3 (Rak2 kanan), ","")&amp;IF('Undian Kubus'!$G$24=C15,"R3-S1 (Rak3 kiri), ","")&amp;IF('Undian Kubus'!$H$24=C15,"R3-S2 (Rak3 tengah), ","")&amp;IF('Undian Kubus'!$I$24=C15,"R3-S3 (Rak3 kanan), ",""))-2),IF('Undian Kubus'!$A$24=C15,"R1-S1 (Rak1 kiri), ","")&amp;IF('Undian Kubus'!$B$24=C15,"R1-S2 (Rak1 tengah), ","")&amp;IF('Undian Kubus'!$C$24=C15,"R1-S3 (Rak1 kanan), ","")&amp;IF('Undian Kubus'!$D$24=C15,"R2-S1 (Rak2 kiri), ","")&amp;IF('Undian Kubus'!$E$24=C15,"R2-S2 (Rak2 tengah), ","")&amp;IF('Undian Kubus'!$F$24=C15,"R2-S3 (Rak2 kanan), ","")&amp;IF('Undian Kubus'!$G$24=C15,"R3-S1 (Rak3 kiri), ","")&amp;IF('Undian Kubus'!$H$24=C15,"R3-S2 (Rak3 tengah), ","")&amp;IF('Undian Kubus'!$I$24=C15,"R3-S3 (Rak3 kanan), ",""))))))</f>
        <v/>
      </c>
      <c r="G15">
        <f>IF(B15="","",IFERROR(VLOOKUP(B15,'Undian Kubus'!$A$28:$I$36,7,FALSE),""))</f>
        <v/>
      </c>
      <c r="H15" t="n">
        <v>1</v>
      </c>
      <c r="I15">
        <f>60/9</f>
        <v/>
      </c>
      <c r="J15">
        <f>IF(H15="",0,H15*I15)</f>
        <v/>
      </c>
    </row>
    <row r="16">
      <c r="E16" s="7" t="inlineStr">
        <is>
          <t>TOTAL MODUL E</t>
        </is>
      </c>
      <c r="I16" t="n">
        <v>60</v>
      </c>
      <c r="J16">
        <f>ROUND(SUM(J7:J15),2)</f>
        <v/>
      </c>
    </row>
    <row r="18">
      <c r="A18" t="inlineStr">
        <is>
          <t>Pelanggaran (1=ya):</t>
        </is>
      </c>
    </row>
    <row r="19">
      <c r="A19" t="inlineStr">
        <is>
          <t>Sentuh laptop setelah SIAP</t>
        </is>
      </c>
      <c r="B19" t="n">
        <v>0</v>
      </c>
    </row>
    <row r="20">
      <c r="A20" t="inlineStr">
        <is>
          <t>Sentuh robot setelah START</t>
        </is>
      </c>
      <c r="B20" t="n">
        <v>0</v>
      </c>
    </row>
    <row r="21">
      <c r="A21" t="inlineStr">
        <is>
          <t>Tidak start via tombol robot</t>
        </is>
      </c>
      <c r="B21" t="n">
        <v>0</v>
      </c>
    </row>
    <row r="22">
      <c r="A22" t="inlineStr">
        <is>
          <t>Place manual oleh peserta</t>
        </is>
      </c>
      <c r="B22" t="n">
        <v>0</v>
      </c>
    </row>
  </sheetData>
  <mergeCells count="3">
    <mergeCell ref="A2:K2"/>
    <mergeCell ref="A1:J1"/>
    <mergeCell ref="A5:K5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LEMBAR LOG RUN OTONOM — LKS 2026</t>
        </is>
      </c>
    </row>
    <row r="2" ht="18" customHeight="1">
      <c r="A2" s="4" t="inlineStr">
        <is>
          <t>Bingung alur SIAP/START &amp; pencatatan? Buka panduan Log Run di GitHub (klik di sini)</t>
        </is>
      </c>
    </row>
    <row r="3">
      <c r="A3" t="inlineStr">
        <is>
          <t>Tim No:</t>
        </is>
      </c>
      <c r="B3" t="inlineStr">
        <is>
          <t>05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Arena No:</t>
        </is>
      </c>
    </row>
    <row r="4">
      <c r="A4" t="inlineStr">
        <is>
          <t>Hari:</t>
        </is>
      </c>
      <c r="C4" t="inlineStr">
        <is>
          <t>Tanggal:</t>
        </is>
      </c>
      <c r="E4" t="inlineStr">
        <is>
          <t>Juri Penilai:</t>
        </is>
      </c>
      <c r="G4" t="inlineStr">
        <is>
          <t>Juri Pendamping:</t>
        </is>
      </c>
    </row>
    <row r="6">
      <c r="A6" s="7" t="inlineStr">
        <is>
          <t>DATA RUN</t>
        </is>
      </c>
    </row>
    <row r="7">
      <c r="A7" s="7" t="inlineStr">
        <is>
          <t>Run No:</t>
        </is>
      </c>
      <c r="D7" s="7" t="inlineStr">
        <is>
          <t>Run ID:</t>
        </is>
      </c>
      <c r="E7" t="inlineStr">
        <is>
          <t>RUN-01</t>
        </is>
      </c>
      <c r="G7" s="7" t="inlineStr">
        <is>
          <t>Trial/Final:</t>
        </is>
      </c>
      <c r="H7" t="inlineStr">
        <is>
          <t>Trial</t>
        </is>
      </c>
    </row>
    <row r="8">
      <c r="A8" s="7" t="inlineStr">
        <is>
          <t>Waktu SIAP:</t>
        </is>
      </c>
      <c r="D8" s="7" t="inlineStr">
        <is>
          <t>Waktu START:</t>
        </is>
      </c>
      <c r="G8" s="7" t="inlineStr">
        <is>
          <t>Waktu Selesai:</t>
        </is>
      </c>
    </row>
    <row r="9">
      <c r="A9" s="7" t="inlineStr">
        <is>
          <t>Undian ulang (1/0):</t>
        </is>
      </c>
      <c r="D9" s="7" t="inlineStr">
        <is>
          <t>Retry (1/0):</t>
        </is>
      </c>
      <c r="G9" s="7" t="inlineStr">
        <is>
          <t>Retry No:</t>
        </is>
      </c>
    </row>
    <row r="11">
      <c r="A11" s="7" t="inlineStr">
        <is>
          <t>CHECKLIST PROSEDUR JURI (isi 1 = selesai)</t>
        </is>
      </c>
    </row>
    <row r="12">
      <c r="A12" s="5" t="inlineStr">
        <is>
          <t>No</t>
        </is>
      </c>
      <c r="B12" s="5" t="inlineStr">
        <is>
          <t>Item</t>
        </is>
      </c>
      <c r="C12" s="5" t="inlineStr">
        <is>
          <t>OK (1/0)</t>
        </is>
      </c>
    </row>
    <row r="13">
      <c r="A13" t="n">
        <v>1</v>
      </c>
      <c r="B13" t="inlineStr">
        <is>
          <t>Layout arena dijelaskan ke peserta</t>
        </is>
      </c>
    </row>
    <row r="14">
      <c r="A14" t="n">
        <v>2</v>
      </c>
      <c r="B14" t="inlineStr">
        <is>
          <t>Peserta nyatakan SIAP</t>
        </is>
      </c>
    </row>
    <row r="15">
      <c r="A15" t="n">
        <v>3</v>
      </c>
      <c r="B15" t="inlineStr">
        <is>
          <t>Laptop tidak disentuh setelah SIAP</t>
        </is>
      </c>
    </row>
    <row r="16">
      <c r="A16" t="n">
        <v>4</v>
      </c>
      <c r="B16" t="inlineStr">
        <is>
          <t>Posisi kubus diacak / diacak ulang</t>
        </is>
      </c>
    </row>
    <row r="17">
      <c r="A17" t="n">
        <v>5</v>
      </c>
      <c r="B17" t="inlineStr">
        <is>
          <t>Sinyal START diberikan</t>
        </is>
      </c>
    </row>
    <row r="18">
      <c r="A18" t="n">
        <v>6</v>
      </c>
      <c r="B18" t="inlineStr">
        <is>
          <t>Peserta tekan tombol START di robot</t>
        </is>
      </c>
    </row>
    <row r="19">
      <c r="A19" t="n">
        <v>7</v>
      </c>
      <c r="B19" t="inlineStr">
        <is>
          <t>Run berjalan otonom</t>
        </is>
      </c>
    </row>
    <row r="20">
      <c r="A20" t="n">
        <v>8</v>
      </c>
      <c r="B20" t="inlineStr">
        <is>
          <t>Hasil dicatat di sheet Modul E</t>
        </is>
      </c>
    </row>
    <row r="22">
      <c r="A22" t="inlineStr">
        <is>
          <t>Checklist selesai:</t>
        </is>
      </c>
      <c r="B22">
        <f>IF(COUNTIF(C13:C20,1)=8,"LENGKAP","BELUM")</f>
        <v/>
      </c>
    </row>
    <row r="24">
      <c r="A24" s="7" t="inlineStr">
        <is>
          <t>KRONOLOGI KEJADIAN</t>
        </is>
      </c>
    </row>
    <row r="25">
      <c r="A25" s="5" t="inlineStr">
        <is>
          <t>Waktu</t>
        </is>
      </c>
      <c r="B25" s="5" t="inlineStr">
        <is>
          <t>Kejadian</t>
        </is>
      </c>
      <c r="C25" s="5" t="inlineStr">
        <is>
          <t>Catatan</t>
        </is>
      </c>
    </row>
    <row r="26">
      <c r="B26" t="inlineStr">
        <is>
          <t>Robot start dari posisi start</t>
        </is>
      </c>
    </row>
    <row r="27">
      <c r="B27" t="inlineStr">
        <is>
          <t>Navigasi / pick / place</t>
        </is>
      </c>
    </row>
    <row r="28">
      <c r="B28" t="inlineStr">
        <is>
          <t>Robot selesai / timeout / STOP</t>
        </is>
      </c>
    </row>
    <row r="29"/>
    <row r="30"/>
    <row r="31"/>
    <row r="32"/>
    <row r="33"/>
    <row r="35">
      <c r="A35" s="7" t="inlineStr">
        <is>
          <t>HASIL SINGKAT</t>
        </is>
      </c>
    </row>
    <row r="36">
      <c r="A36" t="inlineStr">
        <is>
          <t>Kubus berhasil ditempatkan benar:</t>
        </is>
      </c>
      <c r="C36">
        <f>COUNTIF('Modul E'!H7:H15,1)</f>
        <v/>
      </c>
      <c r="D36" t="inlineStr">
        <is>
          <t>/ 9</t>
        </is>
      </c>
    </row>
    <row r="37">
      <c r="A37" t="inlineStr">
        <is>
          <t>Skor Modul E run ini:</t>
        </is>
      </c>
      <c r="C37">
        <f>'Modul E'!J16</f>
        <v/>
      </c>
      <c r="D37" t="inlineStr">
        <is>
          <t>/ 60</t>
        </is>
      </c>
    </row>
    <row r="38">
      <c r="A38" t="inlineStr">
        <is>
          <t>Pelanggaran (ya/tidak):</t>
        </is>
      </c>
    </row>
    <row r="39">
      <c r="A39" t="inlineStr">
        <is>
          <t>Jenis pelanggaran:</t>
        </is>
      </c>
    </row>
    <row r="41">
      <c r="A41" t="inlineStr">
        <is>
          <t>Tanda tangan Juri:</t>
        </is>
      </c>
      <c r="D41" t="inlineStr">
        <is>
          <t>Tanda tangan Peserta:</t>
        </is>
      </c>
      <c r="G41" t="inlineStr">
        <is>
          <t>Tanda tangan Chief Expert:</t>
        </is>
      </c>
    </row>
  </sheetData>
  <mergeCells count="2">
    <mergeCell ref="A1:K1"/>
    <mergeCell ref="A2:H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REKAPITULASI SKOR — Robot Bergerak Otonom LKS 2026</t>
        </is>
      </c>
    </row>
    <row r="2" ht="18" customHeight="1">
      <c r="A2" s="4" t="inlineStr">
        <is>
          <t>Bingung cara baca total &amp; input CIS?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</row>
    <row r="5">
      <c r="A5" s="5" t="inlineStr">
        <is>
          <t>Modul</t>
        </is>
      </c>
      <c r="B5" s="5" t="inlineStr">
        <is>
          <t>Kriteria</t>
        </is>
      </c>
      <c r="C5" s="5" t="inlineStr">
        <is>
          <t>Bobot Max</t>
        </is>
      </c>
      <c r="D5" s="5" t="inlineStr">
        <is>
          <t>Skor</t>
        </is>
      </c>
      <c r="E5" s="5" t="inlineStr">
        <is>
          <t>Persen</t>
        </is>
      </c>
      <c r="F5" s="5" t="inlineStr">
        <is>
          <t>Metode</t>
        </is>
      </c>
    </row>
    <row r="6">
      <c r="A6" t="inlineStr">
        <is>
          <t>A</t>
        </is>
      </c>
      <c r="B6" t="inlineStr">
        <is>
          <t>Organisasi &amp; Manajemen Kerja</t>
        </is>
      </c>
      <c r="C6" t="n">
        <v>8</v>
      </c>
      <c r="D6">
        <f>'Modul A'!H11</f>
        <v/>
      </c>
      <c r="E6">
        <f>IF(C6=0,0,D6/C6*100)</f>
        <v/>
      </c>
      <c r="F6" t="inlineStr">
        <is>
          <t>J</t>
        </is>
      </c>
    </row>
    <row r="7">
      <c r="A7" t="inlineStr">
        <is>
          <t>B</t>
        </is>
      </c>
      <c r="B7" t="inlineStr">
        <is>
          <t>Jurnal Teknis</t>
        </is>
      </c>
      <c r="C7" t="n">
        <v>10</v>
      </c>
      <c r="D7">
        <f>'Modul B'!I15</f>
        <v/>
      </c>
      <c r="E7">
        <f>IF(C7=0,0,D7/C7*100)</f>
        <v/>
      </c>
      <c r="F7" t="inlineStr">
        <is>
          <t>J+M</t>
        </is>
      </c>
    </row>
    <row r="8">
      <c r="A8" t="inlineStr">
        <is>
          <t>C</t>
        </is>
      </c>
      <c r="B8" t="inlineStr">
        <is>
          <t>Perakitan Robot</t>
        </is>
      </c>
      <c r="C8" t="n">
        <v>10</v>
      </c>
      <c r="D8">
        <f>'Modul C'!H11</f>
        <v/>
      </c>
      <c r="E8">
        <f>IF(C8=0,0,D8/C8*100)</f>
        <v/>
      </c>
      <c r="F8" t="inlineStr">
        <is>
          <t>J</t>
        </is>
      </c>
    </row>
    <row r="9">
      <c r="A9" t="inlineStr">
        <is>
          <t>D</t>
        </is>
      </c>
      <c r="B9" t="inlineStr">
        <is>
          <t>Gerakan Dasar</t>
        </is>
      </c>
      <c r="C9" t="n">
        <v>12</v>
      </c>
      <c r="D9">
        <f>'Modul D'!F21</f>
        <v/>
      </c>
      <c r="E9">
        <f>IF(C9=0,0,D9/C9*100)</f>
        <v/>
      </c>
      <c r="F9" t="inlineStr">
        <is>
          <t>M</t>
        </is>
      </c>
    </row>
    <row r="10">
      <c r="A10" t="inlineStr">
        <is>
          <t>E</t>
        </is>
      </c>
      <c r="B10" t="inlineStr">
        <is>
          <t>Performa Otonom</t>
        </is>
      </c>
      <c r="C10" t="n">
        <v>60</v>
      </c>
      <c r="D10">
        <f>'Modul E'!J16</f>
        <v/>
      </c>
      <c r="E10">
        <f>IF(C10=0,0,D10/C10*100)</f>
        <v/>
      </c>
      <c r="F10" t="inlineStr">
        <is>
          <t>M</t>
        </is>
      </c>
    </row>
    <row r="11">
      <c r="B11" s="7" t="inlineStr">
        <is>
          <t>TOTAL</t>
        </is>
      </c>
      <c r="C11" t="n">
        <v>100</v>
      </c>
      <c r="D11">
        <f>SUM(D6:D10)</f>
        <v/>
      </c>
      <c r="E11">
        <f>D11</f>
        <v/>
      </c>
    </row>
    <row r="13">
      <c r="A13" t="inlineStr">
        <is>
          <t>Skor CIS (0-100):</t>
        </is>
      </c>
    </row>
    <row r="14">
      <c r="A14" t="inlineStr">
        <is>
          <t>Skor Konversi (700):</t>
        </is>
      </c>
    </row>
    <row r="15">
      <c r="A15" t="inlineStr">
        <is>
          <t>Medallion (&gt;700):</t>
        </is>
      </c>
    </row>
  </sheetData>
  <mergeCells count="2">
    <mergeCell ref="A2:F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2026-06-25T00:50:36Z</dcterms:created>
  <dcterms:modified xmlns:dcterms="http://purl.org/dc/terms/" xmlns:xsi="http://www.w3.org/2001/XMLSchema-instance" xsi:type="dcterms:W3CDTF">2026-06-25T00:50:37Z</dcterms:modified>
</cp:coreProperties>
</file>