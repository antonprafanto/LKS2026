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 A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Modul B" sheetId="3" state="visible" r:id="rId3"/>
    <sheet xmlns:r="http://schemas.openxmlformats.org/officeDocument/2006/relationships" name="Modul C" sheetId="4" state="visible" r:id="rId4"/>
    <sheet xmlns:r="http://schemas.openxmlformats.org/officeDocument/2006/relationships" name="Modul D" sheetId="5" state="visible" r:id="rId5"/>
    <sheet xmlns:r="http://schemas.openxmlformats.org/officeDocument/2006/relationships" name="Modul E" sheetId="6" state="visible" r:id="rId6"/>
    <sheet xmlns:r="http://schemas.openxmlformats.org/officeDocument/2006/relationships" name="Undian Kubus" sheetId="7" state="visible" r:id="rId7"/>
    <sheet xmlns:r="http://schemas.openxmlformats.org/officeDocument/2006/relationships" name="Log Run Otonom" sheetId="8" state="visible" r:id="rId8"/>
    <sheet xmlns:r="http://schemas.openxmlformats.org/officeDocument/2006/relationships" name="Rekapitulas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24" customWidth="1" min="10" max="10"/>
  </cols>
  <sheetData>
    <row r="1">
      <c r="A1" s="1" t="inlineStr">
        <is>
          <t>MODUL A — Organisasi &amp; Manajemen Kerja (8 poin, Judgement)</t>
        </is>
      </c>
    </row>
    <row r="2">
      <c r="A2" t="inlineStr"/>
    </row>
    <row r="3">
      <c r="A3" t="inlineStr">
        <is>
          <t>Tim No:</t>
        </is>
      </c>
      <c r="C3" t="inlineStr">
        <is>
          <t>Nama Tim:</t>
        </is>
      </c>
      <c r="E3" t="inlineStr">
        <is>
          <t>Kontingen:</t>
        </is>
      </c>
      <c r="G3" t="inlineStr">
        <is>
          <t>Tanggal:</t>
        </is>
      </c>
    </row>
    <row r="4">
      <c r="A4" t="inlineStr">
        <is>
          <t>Juri 1:</t>
        </is>
      </c>
      <c r="C4" t="inlineStr">
        <is>
          <t>Juri 2:</t>
        </is>
      </c>
      <c r="E4" t="inlineStr">
        <is>
          <t>Juri 3:</t>
        </is>
      </c>
    </row>
    <row r="5">
      <c r="A5" t="inlineStr">
        <is>
          <t>1. Duplikat workbook ini per TIM (Save As).</t>
        </is>
      </c>
    </row>
    <row r="6">
      <c r="A6" s="2" t="inlineStr">
        <is>
          <t>Sub</t>
        </is>
      </c>
      <c r="B6" s="2" t="inlineStr">
        <is>
          <t>Kriteria</t>
        </is>
      </c>
      <c r="C6" s="2" t="inlineStr">
        <is>
          <t>Max</t>
        </is>
      </c>
      <c r="D6" s="2" t="inlineStr">
        <is>
          <t>Juri 1</t>
        </is>
      </c>
      <c r="E6" s="2" t="inlineStr">
        <is>
          <t>Juri 2</t>
        </is>
      </c>
      <c r="F6" s="2" t="inlineStr">
        <is>
          <t>Juri 3</t>
        </is>
      </c>
      <c r="G6" s="2" t="inlineStr">
        <is>
          <t>Rata-rata</t>
        </is>
      </c>
      <c r="H6" s="2" t="inlineStr">
        <is>
          <t>Skor Akhir</t>
        </is>
      </c>
      <c r="I6" s="2" t="inlineStr">
        <is>
          <t>Selisih</t>
        </is>
      </c>
      <c r="J6" s="2" t="inlineStr">
        <is>
          <t>Catatan</t>
        </is>
      </c>
    </row>
    <row r="7">
      <c r="A7" t="inlineStr">
        <is>
          <t>A1</t>
        </is>
      </c>
      <c r="B7" t="inlineStr">
        <is>
          <t>Efisiensi Penjadwalan Kerja</t>
        </is>
      </c>
      <c r="C7" t="n">
        <v>2</v>
      </c>
      <c r="D7" s="3" t="n"/>
      <c r="E7" s="3" t="n"/>
      <c r="F7" s="3" t="n"/>
      <c r="G7">
        <f>IF(COUNT(D7:F7)=0,"",AVERAGE(D7:F7))</f>
        <v/>
      </c>
      <c r="H7">
        <f>IF(G7="",0,G7*C7/3)</f>
        <v/>
      </c>
      <c r="I7">
        <f>IF(COUNT(D7:F7)&lt;2,"",MAX(D7:F7)-MIN(D7:F7))</f>
        <v/>
      </c>
    </row>
    <row r="8">
      <c r="A8" t="inlineStr">
        <is>
          <t>A2</t>
        </is>
      </c>
      <c r="B8" t="inlineStr">
        <is>
          <t>Kolaborasi Tim &amp; Manajemen Tugas</t>
        </is>
      </c>
      <c r="C8" t="n">
        <v>2</v>
      </c>
      <c r="D8" s="3" t="n"/>
      <c r="E8" s="3" t="n"/>
      <c r="F8" s="3" t="n"/>
      <c r="G8">
        <f>IF(COUNT(D8:F8)=0,"",AVERAGE(D8:F8))</f>
        <v/>
      </c>
      <c r="H8">
        <f>IF(G8="",0,G8*C8/3)</f>
        <v/>
      </c>
      <c r="I8">
        <f>IF(COUNT(D8:F8)&lt;2,"",MAX(D8:F8)-MIN(D8:F8))</f>
        <v/>
      </c>
    </row>
    <row r="9">
      <c r="A9" t="inlineStr">
        <is>
          <t>A3</t>
        </is>
      </c>
      <c r="B9" t="inlineStr">
        <is>
          <t>Organisasi &amp; Kerapian Area Kerja (5S)</t>
        </is>
      </c>
      <c r="C9" t="n">
        <v>2</v>
      </c>
      <c r="D9" s="3" t="n"/>
      <c r="E9" s="3" t="n"/>
      <c r="F9" s="3" t="n"/>
      <c r="G9">
        <f>IF(COUNT(D9:F9)=0,"",AVERAGE(D9:F9))</f>
        <v/>
      </c>
      <c r="H9">
        <f>IF(G9="",0,G9*C9/3)</f>
        <v/>
      </c>
      <c r="I9">
        <f>IF(COUNT(D9:F9)&lt;2,"",MAX(D9:F9)-MIN(D9:F9))</f>
        <v/>
      </c>
    </row>
    <row r="10">
      <c r="A10" t="inlineStr">
        <is>
          <t>A4</t>
        </is>
      </c>
      <c r="B10" t="inlineStr">
        <is>
          <t>Restorasi Area Kerja</t>
        </is>
      </c>
      <c r="C10" t="n">
        <v>2</v>
      </c>
      <c r="D10" s="3" t="n"/>
      <c r="E10" s="3" t="n"/>
      <c r="F10" s="3" t="n"/>
      <c r="G10">
        <f>IF(COUNT(D10:F10)=0,"",AVERAGE(D10:F10))</f>
        <v/>
      </c>
      <c r="H10">
        <f>IF(G10="",0,G10*C10/3)</f>
        <v/>
      </c>
      <c r="I10">
        <f>IF(COUNT(D10:F10)&lt;2,"",MAX(D10:F10)-MIN(D10:F10))</f>
        <v/>
      </c>
    </row>
    <row r="11">
      <c r="A11" t="inlineStr">
        <is>
          <t>7. Rekapitulasi: total otomatis dari Modul A-E.</t>
        </is>
      </c>
      <c r="B11" s="4" t="inlineStr">
        <is>
          <t>TOTAL MODUL A</t>
        </is>
      </c>
      <c r="C11" t="n">
        <v>8</v>
      </c>
      <c r="H11">
        <f>SUM(H7:H10)</f>
        <v/>
      </c>
    </row>
    <row r="12">
      <c r="A12" t="inlineStr">
        <is>
          <t>8. Input skor resmi ke CIS (Marking Scheme Chief Expert).</t>
        </is>
      </c>
    </row>
    <row r="13">
      <c r="A13" t="inlineStr"/>
    </row>
    <row r="14">
      <c r="A14" t="inlineStr">
        <is>
          <t>Sheet: Panduan | Modul A-E | Undian Kubus | Log Run | Rekapitulasi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8" customWidth="1" min="10" max="10"/>
    <col width="20" customWidth="1" min="11" max="11"/>
  </cols>
  <sheetData>
    <row r="1">
      <c r="A1" s="1" t="inlineStr">
        <is>
          <t>MODUL B — Jurnal / Laporan Teknis (10 poin: J 8 + M 2)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Kontingen:</t>
        </is>
      </c>
      <c r="G3" t="inlineStr">
        <is>
          <t>Deadline:</t>
        </is>
      </c>
    </row>
    <row r="4">
      <c r="A4" t="inlineStr">
        <is>
          <t>Juri 1:</t>
        </is>
      </c>
      <c r="C4" t="inlineStr">
        <is>
          <t>Juri 2:</t>
        </is>
      </c>
      <c r="E4" t="inlineStr">
        <is>
          <t>Juri 3:</t>
        </is>
      </c>
      <c r="G4" t="inlineStr">
        <is>
          <t>Tepat Waktu (1/0):</t>
        </is>
      </c>
    </row>
    <row r="6">
      <c r="A6" s="2" t="inlineStr">
        <is>
          <t>Kode</t>
        </is>
      </c>
      <c r="B6" s="2" t="inlineStr">
        <is>
          <t>Aspek</t>
        </is>
      </c>
      <c r="C6" s="2" t="inlineStr">
        <is>
          <t>Tipe</t>
        </is>
      </c>
      <c r="D6" s="2" t="inlineStr">
        <is>
          <t>Max</t>
        </is>
      </c>
      <c r="E6" s="2" t="inlineStr">
        <is>
          <t>J1</t>
        </is>
      </c>
      <c r="F6" s="2" t="inlineStr">
        <is>
          <t>J2</t>
        </is>
      </c>
      <c r="G6" s="2" t="inlineStr">
        <is>
          <t>J3</t>
        </is>
      </c>
      <c r="H6" s="2" t="inlineStr">
        <is>
          <t>Rata-rata</t>
        </is>
      </c>
      <c r="I6" s="2" t="inlineStr">
        <is>
          <t>Skor Akhir</t>
        </is>
      </c>
      <c r="J6" s="2" t="inlineStr">
        <is>
          <t>Selisih</t>
        </is>
      </c>
      <c r="K6" s="2" t="inlineStr">
        <is>
          <t>Catatan</t>
        </is>
      </c>
    </row>
    <row r="7">
      <c r="A7" t="inlineStr">
        <is>
          <t>B-J1</t>
        </is>
      </c>
      <c r="B7" t="inlineStr">
        <is>
          <t>Kualitas Fabrikasi Rangka &amp; Stabilitas</t>
        </is>
      </c>
      <c r="C7" t="inlineStr">
        <is>
          <t>J</t>
        </is>
      </c>
      <c r="D7" t="n">
        <v>1.5</v>
      </c>
      <c r="H7">
        <f>IF(COUNT(E7:G7)=0,"",AVERAGE(E7:G7))</f>
        <v/>
      </c>
      <c r="I7">
        <f>IF(H7="",0,H7*D7/3)</f>
        <v/>
      </c>
      <c r="J7">
        <f>IF(COUNT(E7:G7)&lt;2,"",MAX(E7:G7)-MIN(E7:G7))</f>
        <v/>
      </c>
    </row>
    <row r="8">
      <c r="A8" t="inlineStr">
        <is>
          <t>B-J2</t>
        </is>
      </c>
      <c r="B8" t="inlineStr">
        <is>
          <t>Manajemen Pengkabelan (Wiring)</t>
        </is>
      </c>
      <c r="C8" t="inlineStr">
        <is>
          <t>J</t>
        </is>
      </c>
      <c r="D8" t="n">
        <v>1.5</v>
      </c>
      <c r="H8">
        <f>IF(COUNT(E8:G8)=0,"",AVERAGE(E8:G8))</f>
        <v/>
      </c>
      <c r="I8">
        <f>IF(H8="",0,H8*D8/3)</f>
        <v/>
      </c>
      <c r="J8">
        <f>IF(COUNT(E8:G8)&lt;2,"",MAX(E8:G8)-MIN(E8:G8))</f>
        <v/>
      </c>
    </row>
    <row r="9">
      <c r="A9" t="inlineStr">
        <is>
          <t>B-J3</t>
        </is>
      </c>
      <c r="B9" t="inlineStr">
        <is>
          <t>Integrasi Sistem Penggerak</t>
        </is>
      </c>
      <c r="C9" t="inlineStr">
        <is>
          <t>J</t>
        </is>
      </c>
      <c r="D9" t="n">
        <v>1.5</v>
      </c>
      <c r="H9">
        <f>IF(COUNT(E9:G9)=0,"",AVERAGE(E9:G9))</f>
        <v/>
      </c>
      <c r="I9">
        <f>IF(H9="",0,H9*D9/3)</f>
        <v/>
      </c>
      <c r="J9">
        <f>IF(COUNT(E9:G9)&lt;2,"",MAX(E9:G9)-MIN(E9:G9))</f>
        <v/>
      </c>
    </row>
    <row r="10">
      <c r="A10" t="inlineStr">
        <is>
          <t>B-J4</t>
        </is>
      </c>
      <c r="B10" t="inlineStr">
        <is>
          <t>Kalibrasi Sensor &amp; Aktuator</t>
        </is>
      </c>
      <c r="C10" t="inlineStr">
        <is>
          <t>J</t>
        </is>
      </c>
      <c r="D10" t="n">
        <v>1.5</v>
      </c>
      <c r="H10">
        <f>IF(COUNT(E10:G10)=0,"",AVERAGE(E10:G10))</f>
        <v/>
      </c>
      <c r="I10">
        <f>IF(H10="",0,H10*D10/3)</f>
        <v/>
      </c>
      <c r="J10">
        <f>IF(COUNT(E10:G10)&lt;2,"",MAX(E10:G10)-MIN(E10:G10))</f>
        <v/>
      </c>
    </row>
    <row r="11">
      <c r="A11" t="inlineStr">
        <is>
          <t>B-J5</t>
        </is>
      </c>
      <c r="B11" t="inlineStr">
        <is>
          <t>Optimasi Software-Hardware</t>
        </is>
      </c>
      <c r="C11" t="inlineStr">
        <is>
          <t>J</t>
        </is>
      </c>
      <c r="D11" t="n">
        <v>1.5</v>
      </c>
      <c r="H11">
        <f>IF(COUNT(E11:G11)=0,"",AVERAGE(E11:G11))</f>
        <v/>
      </c>
      <c r="I11">
        <f>IF(H11="",0,H11*D11/3)</f>
        <v/>
      </c>
      <c r="J11">
        <f>IF(COUNT(E11:G11)&lt;2,"",MAX(E11:G11)-MIN(E11:G11))</f>
        <v/>
      </c>
    </row>
    <row r="12">
      <c r="A12" t="inlineStr">
        <is>
          <t>B-J6</t>
        </is>
      </c>
      <c r="B12" t="inlineStr">
        <is>
          <t>Kelengkapan Dokumentasi</t>
        </is>
      </c>
      <c r="C12" t="inlineStr">
        <is>
          <t>J</t>
        </is>
      </c>
      <c r="D12" t="n">
        <v>0.5</v>
      </c>
      <c r="H12">
        <f>IF(COUNT(E12:G12)=0,"",AVERAGE(E12:G12))</f>
        <v/>
      </c>
      <c r="I12">
        <f>IF(H12="",0,H12*D12/3)</f>
        <v/>
      </c>
      <c r="J12">
        <f>IF(COUNT(E12:G12)&lt;2,"",MAX(E12:G12)-MIN(E12:G12))</f>
        <v/>
      </c>
    </row>
    <row r="13">
      <c r="B13" s="4" t="inlineStr">
        <is>
          <t>SUBTOTAL JUDGEMENT</t>
        </is>
      </c>
      <c r="D13" t="n">
        <v>8</v>
      </c>
      <c r="I13">
        <f>SUM(I7:I12)</f>
        <v/>
      </c>
    </row>
    <row r="14">
      <c r="A14" t="inlineStr">
        <is>
          <t>B-M1</t>
        </is>
      </c>
      <c r="B14" t="inlineStr">
        <is>
          <t>Ketepatan Mengumpulkan sesuai Waktu</t>
        </is>
      </c>
      <c r="C14" t="inlineStr">
        <is>
          <t>M</t>
        </is>
      </c>
      <c r="D14" t="n">
        <v>2</v>
      </c>
      <c r="I14">
        <f>IF(G4="",0,G4*D14)</f>
        <v/>
      </c>
    </row>
    <row r="15">
      <c r="B15" s="4" t="inlineStr">
        <is>
          <t>TOTAL MODUL B</t>
        </is>
      </c>
      <c r="D15" t="n">
        <v>10</v>
      </c>
      <c r="I15">
        <f>I13+I14</f>
        <v/>
      </c>
    </row>
    <row r="17">
      <c r="A17" s="4" t="inlineStr">
        <is>
          <t>CHECKLIST KELENGKAPAN (1=ada)</t>
        </is>
      </c>
    </row>
    <row r="18">
      <c r="A18" t="inlineStr">
        <is>
          <t>C1</t>
        </is>
      </c>
      <c r="B18" t="inlineStr">
        <is>
          <t>Analisis Tugas &amp; Strategi</t>
        </is>
      </c>
      <c r="C18" t="inlineStr"/>
    </row>
    <row r="19">
      <c r="A19" t="inlineStr">
        <is>
          <t>C2</t>
        </is>
      </c>
      <c r="B19" t="inlineStr">
        <is>
          <t>Desain Mekanik</t>
        </is>
      </c>
      <c r="C19" t="inlineStr"/>
    </row>
    <row r="20">
      <c r="A20" t="inlineStr">
        <is>
          <t>C3</t>
        </is>
      </c>
      <c r="B20" t="inlineStr">
        <is>
          <t>Diagram Blok</t>
        </is>
      </c>
      <c r="C20" t="inlineStr"/>
    </row>
    <row r="21">
      <c r="A21" t="inlineStr">
        <is>
          <t>C4</t>
        </is>
      </c>
      <c r="B21" t="inlineStr">
        <is>
          <t>Bill of Materials</t>
        </is>
      </c>
      <c r="C21" t="inlineStr"/>
    </row>
    <row r="22">
      <c r="A22" t="inlineStr">
        <is>
          <t>C5</t>
        </is>
      </c>
      <c r="B22" t="inlineStr">
        <is>
          <t>Dokumentasi Fabrikasi</t>
        </is>
      </c>
      <c r="C22" t="inlineStr"/>
    </row>
    <row r="23">
      <c r="A23" t="inlineStr">
        <is>
          <t>C6</t>
        </is>
      </c>
      <c r="B23" t="inlineStr">
        <is>
          <t>Manajemen Kelistrikan</t>
        </is>
      </c>
      <c r="C23" t="inlineStr"/>
    </row>
    <row r="24">
      <c r="A24" t="inlineStr">
        <is>
          <t>C7</t>
        </is>
      </c>
      <c r="B24" t="inlineStr">
        <is>
          <t>Penempatan Sensor</t>
        </is>
      </c>
      <c r="C24" t="inlineStr"/>
    </row>
    <row r="25">
      <c r="A25" t="inlineStr">
        <is>
          <t>C8</t>
        </is>
      </c>
      <c r="B25" t="inlineStr">
        <is>
          <t>Arsitektur Software</t>
        </is>
      </c>
      <c r="C25" t="inlineStr"/>
    </row>
    <row r="26">
      <c r="A26" t="inlineStr">
        <is>
          <t>C9</t>
        </is>
      </c>
      <c r="B26" t="inlineStr">
        <is>
          <t>Algoritma Navigasi</t>
        </is>
      </c>
      <c r="C26" t="inlineStr"/>
    </row>
    <row r="27">
      <c r="A27" t="inlineStr">
        <is>
          <t>C10</t>
        </is>
      </c>
      <c r="B27" t="inlineStr">
        <is>
          <t>Algoritma Visi</t>
        </is>
      </c>
      <c r="C27" t="inlineStr"/>
    </row>
    <row r="28">
      <c r="A28" t="inlineStr">
        <is>
          <t>C11</t>
        </is>
      </c>
      <c r="B28" t="inlineStr">
        <is>
          <t>Flowchart</t>
        </is>
      </c>
      <c r="C28" t="inlineStr"/>
    </row>
    <row r="29">
      <c r="A29" t="inlineStr">
        <is>
          <t>C12</t>
        </is>
      </c>
      <c r="B29" t="inlineStr">
        <is>
          <t>Data Kalibrasi</t>
        </is>
      </c>
      <c r="C29" t="inlineStr"/>
    </row>
    <row r="30">
      <c r="A30" t="inlineStr">
        <is>
          <t>C13</t>
        </is>
      </c>
      <c r="B30" t="inlineStr">
        <is>
          <t>Tuning Kontroler</t>
        </is>
      </c>
      <c r="C30" t="inlineStr"/>
    </row>
    <row r="31">
      <c r="A31" t="inlineStr">
        <is>
          <t>C14</t>
        </is>
      </c>
      <c r="B31" t="inlineStr">
        <is>
          <t>Log Troubleshooting</t>
        </is>
      </c>
      <c r="C31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22" customWidth="1" min="10" max="10"/>
  </cols>
  <sheetData>
    <row r="1">
      <c r="A1" s="1" t="inlineStr">
        <is>
          <t>MODUL C — Pembuatan &amp; Perakitan Robot (10 poin, Judgement)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Waktu Mulai:</t>
        </is>
      </c>
      <c r="G3" t="inlineStr">
        <is>
          <t>Waktu Selesai:</t>
        </is>
      </c>
      <c r="I3" t="inlineStr">
        <is>
          <t>Durasi (jam):</t>
        </is>
      </c>
    </row>
    <row r="4">
      <c r="A4" t="inlineStr">
        <is>
          <t>Juri 1:</t>
        </is>
      </c>
      <c r="C4" t="inlineStr">
        <is>
          <t>Juri 2:</t>
        </is>
      </c>
      <c r="E4" t="inlineStr">
        <is>
          <t>Juri 3:</t>
        </is>
      </c>
    </row>
    <row r="6">
      <c r="A6" s="2" t="inlineStr">
        <is>
          <t>Sub</t>
        </is>
      </c>
      <c r="B6" s="2" t="inlineStr">
        <is>
          <t>Kriteria</t>
        </is>
      </c>
      <c r="C6" s="2" t="inlineStr">
        <is>
          <t>Max</t>
        </is>
      </c>
      <c r="D6" s="2" t="inlineStr">
        <is>
          <t>J1</t>
        </is>
      </c>
      <c r="E6" s="2" t="inlineStr">
        <is>
          <t>J2</t>
        </is>
      </c>
      <c r="F6" s="2" t="inlineStr">
        <is>
          <t>J3</t>
        </is>
      </c>
      <c r="G6" s="2" t="inlineStr">
        <is>
          <t>Rata-rata</t>
        </is>
      </c>
      <c r="H6" s="2" t="inlineStr">
        <is>
          <t>Skor Akhir</t>
        </is>
      </c>
      <c r="I6" s="2" t="inlineStr">
        <is>
          <t>Selisih</t>
        </is>
      </c>
      <c r="J6" s="2" t="inlineStr">
        <is>
          <t>Catatan</t>
        </is>
      </c>
    </row>
    <row r="7">
      <c r="A7" t="inlineStr">
        <is>
          <t>C1</t>
        </is>
      </c>
      <c r="B7" t="inlineStr">
        <is>
          <t>Perakitan L-Channel sebagai Penyangga Utama Lift</t>
        </is>
      </c>
      <c r="C7" t="n">
        <v>2.5</v>
      </c>
      <c r="D7" s="3" t="n"/>
      <c r="E7" s="3" t="n"/>
      <c r="F7" s="3" t="n"/>
      <c r="G7">
        <f>IF(COUNT(D7:F7)=0,"",AVERAGE(D7:F7))</f>
        <v/>
      </c>
      <c r="H7">
        <f>IF(G7="",0,G7*C7/3)</f>
        <v/>
      </c>
      <c r="I7">
        <f>IF(COUNT(D7:F7)&lt;2,"",MAX(D7:F7)-MIN(D7:F7))</f>
        <v/>
      </c>
    </row>
    <row r="8">
      <c r="A8" t="inlineStr">
        <is>
          <t>C2</t>
        </is>
      </c>
      <c r="B8" t="inlineStr">
        <is>
          <t>Integrasi Sistem Angkat / Gripper / Lifter</t>
        </is>
      </c>
      <c r="C8" t="n">
        <v>2.5</v>
      </c>
      <c r="D8" s="3" t="n"/>
      <c r="E8" s="3" t="n"/>
      <c r="F8" s="3" t="n"/>
      <c r="G8">
        <f>IF(COUNT(D8:F8)=0,"",AVERAGE(D8:F8))</f>
        <v/>
      </c>
      <c r="H8">
        <f>IF(G8="",0,G8*C8/3)</f>
        <v/>
      </c>
      <c r="I8">
        <f>IF(COUNT(D8:F8)&lt;2,"",MAX(D8:F8)-MIN(D8:F8))</f>
        <v/>
      </c>
    </row>
    <row r="9">
      <c r="A9" t="inlineStr">
        <is>
          <t>C3</t>
        </is>
      </c>
      <c r="B9" t="inlineStr">
        <is>
          <t>Kualitas Rewiring (rapi, aman)</t>
        </is>
      </c>
      <c r="C9" t="n">
        <v>2.5</v>
      </c>
      <c r="D9" s="3" t="n"/>
      <c r="E9" s="3" t="n"/>
      <c r="F9" s="3" t="n"/>
      <c r="G9">
        <f>IF(COUNT(D9:F9)=0,"",AVERAGE(D9:F9))</f>
        <v/>
      </c>
      <c r="H9">
        <f>IF(G9="",0,G9*C9/3)</f>
        <v/>
      </c>
      <c r="I9">
        <f>IF(COUNT(D9:F9)&lt;2,"",MAX(D9:F9)-MIN(D9:F9))</f>
        <v/>
      </c>
    </row>
    <row r="10">
      <c r="A10" t="inlineStr">
        <is>
          <t>C4</t>
        </is>
      </c>
      <c r="B10" t="inlineStr">
        <is>
          <t>Kelayakan Operasional (STOP, struktur stabil)</t>
        </is>
      </c>
      <c r="C10" t="n">
        <v>2.5</v>
      </c>
      <c r="D10" s="3" t="n"/>
      <c r="E10" s="3" t="n"/>
      <c r="F10" s="3" t="n"/>
      <c r="G10">
        <f>IF(COUNT(D10:F10)=0,"",AVERAGE(D10:F10))</f>
        <v/>
      </c>
      <c r="H10">
        <f>IF(G10="",0,G10*C10/3)</f>
        <v/>
      </c>
      <c r="I10">
        <f>IF(COUNT(D10:F10)&lt;2,"",MAX(D10:F10)-MIN(D10:F10))</f>
        <v/>
      </c>
    </row>
    <row r="11">
      <c r="B11" s="4" t="inlineStr">
        <is>
          <t>TOTAL MODUL C</t>
        </is>
      </c>
      <c r="C11" t="n">
        <v>10</v>
      </c>
      <c r="H11">
        <f>SUM(H7:H10)</f>
        <v/>
      </c>
    </row>
    <row r="13">
      <c r="A13" s="4" t="inlineStr">
        <is>
          <t>CHECKLIST INSPEKSI (1=Lulus 0=Tidak)</t>
        </is>
      </c>
    </row>
    <row r="14">
      <c r="A14" t="inlineStr">
        <is>
          <t>I1</t>
        </is>
      </c>
      <c r="B14" t="inlineStr">
        <is>
          <t>L-Channel sebagai penyangga utama angkat</t>
        </is>
      </c>
    </row>
    <row r="15">
      <c r="A15" t="inlineStr">
        <is>
          <t>I2</t>
        </is>
      </c>
      <c r="B15" t="inlineStr">
        <is>
          <t>Sistem objek terpasang kuat di L-Channel</t>
        </is>
      </c>
    </row>
    <row r="16">
      <c r="A16" t="inlineStr">
        <is>
          <t>I3</t>
        </is>
      </c>
      <c r="B16" t="inlineStr">
        <is>
          <t>Tidak ada kabel terbuka/terjepit</t>
        </is>
      </c>
    </row>
    <row r="17">
      <c r="A17" t="inlineStr">
        <is>
          <t>I4</t>
        </is>
      </c>
      <c r="B17" t="inlineStr">
        <is>
          <t>Tombol STOP merah berfungsi</t>
        </is>
      </c>
    </row>
    <row r="18">
      <c r="A18" t="inlineStr">
        <is>
          <t>I5</t>
        </is>
      </c>
      <c r="B18" t="inlineStr">
        <is>
          <t>Selesai dalam batas 2 jam</t>
        </is>
      </c>
    </row>
    <row r="19">
      <c r="A19" t="inlineStr">
        <is>
          <t>I6</t>
        </is>
      </c>
      <c r="B19" t="inlineStr">
        <is>
          <t>Robot aman dioperasikan (K3)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8" customWidth="1" min="4" max="4"/>
    <col width="12" customWidth="1" min="5" max="5"/>
    <col width="10" customWidth="1" min="6" max="6"/>
    <col width="24" customWidth="1" min="7" max="7"/>
  </cols>
  <sheetData>
    <row r="1">
      <c r="A1" s="1" t="inlineStr">
        <is>
          <t>MODUL D — Gerakan Dasar &amp; Manajemen Objek (12 poin, Measurement)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Tanggal:</t>
        </is>
      </c>
    </row>
    <row r="4">
      <c r="A4" t="inlineStr">
        <is>
          <t>Juri Penilai:</t>
        </is>
      </c>
    </row>
    <row r="6">
      <c r="A6" s="2" t="inlineStr">
        <is>
          <t>ID</t>
        </is>
      </c>
      <c r="B6" s="2" t="inlineStr">
        <is>
          <t>Evaluasi</t>
        </is>
      </c>
      <c r="C6" s="2" t="inlineStr">
        <is>
          <t>Indikator</t>
        </is>
      </c>
      <c r="D6" s="2" t="inlineStr">
        <is>
          <t>Bobot</t>
        </is>
      </c>
      <c r="E6" s="2" t="inlineStr">
        <is>
          <t>Hasil (1/0)</t>
        </is>
      </c>
      <c r="F6" s="2" t="inlineStr">
        <is>
          <t>Skor</t>
        </is>
      </c>
      <c r="G6" s="2" t="inlineStr">
        <is>
          <t>Catatan</t>
        </is>
      </c>
    </row>
    <row r="7">
      <c r="A7" t="inlineStr">
        <is>
          <t>D1a</t>
        </is>
      </c>
      <c r="B7" t="inlineStr">
        <is>
          <t>Gerak maju 200-300 mm</t>
        </is>
      </c>
      <c r="C7" t="inlineStr">
        <is>
          <t>Observasi</t>
        </is>
      </c>
      <c r="D7" t="n">
        <v>0.5</v>
      </c>
      <c r="F7">
        <f>IF(E7="",0,E7*D7)</f>
        <v/>
      </c>
    </row>
    <row r="8">
      <c r="A8" t="inlineStr">
        <is>
          <t>D1b</t>
        </is>
      </c>
      <c r="B8" t="inlineStr">
        <is>
          <t>Gerak mundur 200-300 mm</t>
        </is>
      </c>
      <c r="C8" t="inlineStr">
        <is>
          <t>Observasi</t>
        </is>
      </c>
      <c r="D8" t="n">
        <v>0.5</v>
      </c>
      <c r="F8">
        <f>IF(E8="",0,E8*D8)</f>
        <v/>
      </c>
    </row>
    <row r="9">
      <c r="A9" t="inlineStr">
        <is>
          <t>D1c</t>
        </is>
      </c>
      <c r="B9" t="inlineStr">
        <is>
          <t>Gerak kanan 200-300 mm</t>
        </is>
      </c>
      <c r="C9" t="inlineStr">
        <is>
          <t>Observasi</t>
        </is>
      </c>
      <c r="D9" t="n">
        <v>0.5</v>
      </c>
      <c r="F9">
        <f>IF(E9="",0,E9*D9)</f>
        <v/>
      </c>
    </row>
    <row r="10">
      <c r="A10" t="inlineStr">
        <is>
          <t>D1d</t>
        </is>
      </c>
      <c r="B10" t="inlineStr">
        <is>
          <t>Gerak kiri 200-300 mm</t>
        </is>
      </c>
      <c r="C10" t="inlineStr">
        <is>
          <t>Observasi</t>
        </is>
      </c>
      <c r="D10" t="n">
        <v>0.5</v>
      </c>
      <c r="F10">
        <f>IF(E10="",0,E10*D10)</f>
        <v/>
      </c>
    </row>
    <row r="11">
      <c r="A11" t="inlineStr">
        <is>
          <t>D2a</t>
        </is>
      </c>
      <c r="B11" t="inlineStr">
        <is>
          <t>Maju stop 50-100 mm dari dinding</t>
        </is>
      </c>
      <c r="C11" t="inlineStr">
        <is>
          <t>Observasi</t>
        </is>
      </c>
      <c r="D11" t="n">
        <v>0.3</v>
      </c>
      <c r="F11">
        <f>IF(E11="",0,E11*D11)</f>
        <v/>
      </c>
    </row>
    <row r="12">
      <c r="A12" t="inlineStr">
        <is>
          <t>D2b</t>
        </is>
      </c>
      <c r="B12" t="inlineStr">
        <is>
          <t>Kanan stop 50-100 mm dari dinding</t>
        </is>
      </c>
      <c r="C12" t="inlineStr">
        <is>
          <t>Observasi</t>
        </is>
      </c>
      <c r="D12" t="n">
        <v>0.6</v>
      </c>
      <c r="F12">
        <f>IF(E12="",0,E12*D12)</f>
        <v/>
      </c>
    </row>
    <row r="13">
      <c r="A13" t="inlineStr">
        <is>
          <t>D3</t>
        </is>
      </c>
      <c r="B13" t="inlineStr">
        <is>
          <t>Ikuti garis U</t>
        </is>
      </c>
      <c r="C13" t="inlineStr">
        <is>
          <t>Line follower</t>
        </is>
      </c>
      <c r="D13" t="n">
        <v>1</v>
      </c>
      <c r="F13">
        <f>IF(E13="",0,E13*D13)</f>
        <v/>
      </c>
    </row>
    <row r="14">
      <c r="A14" t="inlineStr">
        <is>
          <t>D4</t>
        </is>
      </c>
      <c r="B14" t="inlineStr">
        <is>
          <t>Deteksi merah → teks merah</t>
        </is>
      </c>
      <c r="C14" t="inlineStr">
        <is>
          <t>Monitor</t>
        </is>
      </c>
      <c r="D14" t="n">
        <v>1</v>
      </c>
      <c r="F14">
        <f>IF(E14="",0,E14*D14)</f>
        <v/>
      </c>
    </row>
    <row r="15">
      <c r="A15" t="inlineStr">
        <is>
          <t>D5</t>
        </is>
      </c>
      <c r="B15" t="inlineStr">
        <is>
          <t>Deteksi hijau → teks hijau</t>
        </is>
      </c>
      <c r="C15" t="inlineStr">
        <is>
          <t>Monitor</t>
        </is>
      </c>
      <c r="D15" t="n">
        <v>1</v>
      </c>
      <c r="F15">
        <f>IF(E15="",0,E15*D15)</f>
        <v/>
      </c>
    </row>
    <row r="16">
      <c r="A16" t="inlineStr">
        <is>
          <t>D6</t>
        </is>
      </c>
      <c r="B16" t="inlineStr">
        <is>
          <t>Deteksi biru → teks biru</t>
        </is>
      </c>
      <c r="C16" t="inlineStr">
        <is>
          <t>Monitor</t>
        </is>
      </c>
      <c r="D16" t="n">
        <v>1</v>
      </c>
      <c r="F16">
        <f>IF(E16="",0,E16*D16)</f>
        <v/>
      </c>
    </row>
    <row r="17">
      <c r="A17" t="inlineStr">
        <is>
          <t>D7</t>
        </is>
      </c>
      <c r="B17" t="inlineStr">
        <is>
          <t>Deteksi O-merah</t>
        </is>
      </c>
      <c r="C17" t="inlineStr">
        <is>
          <t>Monitor</t>
        </is>
      </c>
      <c r="D17" t="n">
        <v>1</v>
      </c>
      <c r="F17">
        <f>IF(E17="",0,E17*D17)</f>
        <v/>
      </c>
    </row>
    <row r="18">
      <c r="A18" t="inlineStr">
        <is>
          <t>D8</t>
        </is>
      </c>
      <c r="B18" t="inlineStr">
        <is>
          <t>Deteksi O-hijau</t>
        </is>
      </c>
      <c r="C18" t="inlineStr">
        <is>
          <t>Monitor</t>
        </is>
      </c>
      <c r="D18" t="n">
        <v>1</v>
      </c>
      <c r="F18">
        <f>IF(E18="",0,E18*D18)</f>
        <v/>
      </c>
    </row>
    <row r="19">
      <c r="A19" t="inlineStr">
        <is>
          <t>D9</t>
        </is>
      </c>
      <c r="B19" t="inlineStr">
        <is>
          <t>Pick kubus dari rak otonom</t>
        </is>
      </c>
      <c r="C19" t="inlineStr">
        <is>
          <t>Observasi arm</t>
        </is>
      </c>
      <c r="D19" t="n">
        <v>2</v>
      </c>
      <c r="F19">
        <f>IF(E19="",0,E19*D19)</f>
        <v/>
      </c>
    </row>
    <row r="20">
      <c r="A20" t="inlineStr">
        <is>
          <t>D10</t>
        </is>
      </c>
      <c r="B20" t="inlineStr">
        <is>
          <t>Place kubus ke standbox</t>
        </is>
      </c>
      <c r="C20" t="inlineStr">
        <is>
          <t>Observasi arm</t>
        </is>
      </c>
      <c r="D20" t="n">
        <v>2</v>
      </c>
      <c r="F20">
        <f>IF(E20="",0,E20*D20)</f>
        <v/>
      </c>
    </row>
    <row r="21">
      <c r="B21" s="4" t="inlineStr">
        <is>
          <t>TOTAL</t>
        </is>
      </c>
      <c r="D21" t="n">
        <v>12</v>
      </c>
      <c r="F21">
        <f>SUM(F7:F20)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2" customWidth="1" min="8" max="8"/>
    <col width="8" customWidth="1" min="9" max="9"/>
    <col width="8" customWidth="1" min="10" max="10"/>
    <col width="20" customWidth="1" min="11" max="11"/>
  </cols>
  <sheetData>
    <row r="1">
      <c r="A1" s="1" t="inlineStr">
        <is>
          <t>MODUL E — Performansi Otonom (60 poin, Measurement)</t>
        </is>
      </c>
    </row>
    <row r="3">
      <c r="A3" t="inlineStr">
        <is>
          <t>Tim No:</t>
        </is>
      </c>
      <c r="C3" t="inlineStr">
        <is>
          <t>Run ID:</t>
        </is>
      </c>
      <c r="E3" t="inlineStr">
        <is>
          <t>Hari:</t>
        </is>
      </c>
      <c r="G3" t="inlineStr">
        <is>
          <t>Trial/Final:</t>
        </is>
      </c>
    </row>
    <row r="4">
      <c r="A4" t="inlineStr">
        <is>
          <t>Arena No:</t>
        </is>
      </c>
      <c r="C4" t="inlineStr">
        <is>
          <t>Waktu START:</t>
        </is>
      </c>
    </row>
    <row r="6">
      <c r="A6" s="2" t="inlineStr">
        <is>
          <t>No</t>
        </is>
      </c>
      <c r="B6" s="2" t="inlineStr">
        <is>
          <t>ID Kubus</t>
        </is>
      </c>
      <c r="C6" s="2" t="inlineStr">
        <is>
          <t>Warna</t>
        </is>
      </c>
      <c r="D6" s="2" t="inlineStr">
        <is>
          <t>Bentuk</t>
        </is>
      </c>
      <c r="E6" s="2" t="inlineStr">
        <is>
          <t>Posisi Awal</t>
        </is>
      </c>
      <c r="F6" s="2" t="inlineStr">
        <is>
          <t>Target Rak</t>
        </is>
      </c>
      <c r="G6" s="2" t="inlineStr">
        <is>
          <t>Target Marker</t>
        </is>
      </c>
      <c r="H6" s="2" t="inlineStr">
        <is>
          <t>Hasil (1/0)</t>
        </is>
      </c>
      <c r="I6" s="2" t="inlineStr">
        <is>
          <t>Bobot</t>
        </is>
      </c>
      <c r="J6" s="2" t="inlineStr">
        <is>
          <t>Skor</t>
        </is>
      </c>
      <c r="K6" s="2" t="inlineStr">
        <is>
          <t>Catatan</t>
        </is>
      </c>
    </row>
    <row r="7">
      <c r="A7" t="n">
        <v>1</v>
      </c>
      <c r="C7">
        <f>IF(B7="","",VLOOKUP(B7,Undian!$A$10:$D$18,2,FALSE))</f>
        <v/>
      </c>
      <c r="D7">
        <f>IF(B7="","",VLOOKUP(B7,Undian!$A$10:$D$18,3,FALSE))</f>
        <v/>
      </c>
      <c r="E7">
        <f>IF(B7="","",IFERROR(VLOOKUP(B7,Undian!$A$25:$E$33,4,FALSE),""))</f>
        <v/>
      </c>
      <c r="I7" t="n">
        <v>6.67</v>
      </c>
      <c r="J7">
        <f>IF(H7="",0,H7*I7)</f>
        <v/>
      </c>
    </row>
    <row r="8">
      <c r="A8" t="n">
        <v>2</v>
      </c>
      <c r="C8">
        <f>IF(B8="","",VLOOKUP(B8,Undian!$A$10:$D$18,2,FALSE))</f>
        <v/>
      </c>
      <c r="D8">
        <f>IF(B8="","",VLOOKUP(B8,Undian!$A$10:$D$18,3,FALSE))</f>
        <v/>
      </c>
      <c r="E8">
        <f>IF(B8="","",IFERROR(VLOOKUP(B8,Undian!$A$25:$E$33,4,FALSE),""))</f>
        <v/>
      </c>
      <c r="I8" t="n">
        <v>6.67</v>
      </c>
      <c r="J8">
        <f>IF(H8="",0,H8*I8)</f>
        <v/>
      </c>
    </row>
    <row r="9">
      <c r="A9" t="n">
        <v>3</v>
      </c>
      <c r="C9">
        <f>IF(B9="","",VLOOKUP(B9,Undian!$A$10:$D$18,2,FALSE))</f>
        <v/>
      </c>
      <c r="D9">
        <f>IF(B9="","",VLOOKUP(B9,Undian!$A$10:$D$18,3,FALSE))</f>
        <v/>
      </c>
      <c r="E9">
        <f>IF(B9="","",IFERROR(VLOOKUP(B9,Undian!$A$25:$E$33,4,FALSE),""))</f>
        <v/>
      </c>
      <c r="I9" t="n">
        <v>6.67</v>
      </c>
      <c r="J9">
        <f>IF(H9="",0,H9*I9)</f>
        <v/>
      </c>
    </row>
    <row r="10">
      <c r="A10" t="n">
        <v>4</v>
      </c>
      <c r="C10">
        <f>IF(B10="","",VLOOKUP(B10,Undian!$A$10:$D$18,2,FALSE))</f>
        <v/>
      </c>
      <c r="D10">
        <f>IF(B10="","",VLOOKUP(B10,Undian!$A$10:$D$18,3,FALSE))</f>
        <v/>
      </c>
      <c r="E10">
        <f>IF(B10="","",IFERROR(VLOOKUP(B10,Undian!$A$25:$E$33,4,FALSE),""))</f>
        <v/>
      </c>
      <c r="I10" t="n">
        <v>6.67</v>
      </c>
      <c r="J10">
        <f>IF(H10="",0,H10*I10)</f>
        <v/>
      </c>
    </row>
    <row r="11">
      <c r="A11" t="n">
        <v>5</v>
      </c>
      <c r="C11">
        <f>IF(B11="","",VLOOKUP(B11,Undian!$A$10:$D$18,2,FALSE))</f>
        <v/>
      </c>
      <c r="D11">
        <f>IF(B11="","",VLOOKUP(B11,Undian!$A$10:$D$18,3,FALSE))</f>
        <v/>
      </c>
      <c r="E11">
        <f>IF(B11="","",IFERROR(VLOOKUP(B11,Undian!$A$25:$E$33,4,FALSE),""))</f>
        <v/>
      </c>
      <c r="I11" t="n">
        <v>6.67</v>
      </c>
      <c r="J11">
        <f>IF(H11="",0,H11*I11)</f>
        <v/>
      </c>
    </row>
    <row r="12">
      <c r="A12" t="n">
        <v>6</v>
      </c>
      <c r="C12">
        <f>IF(B12="","",VLOOKUP(B12,Undian!$A$10:$D$18,2,FALSE))</f>
        <v/>
      </c>
      <c r="D12">
        <f>IF(B12="","",VLOOKUP(B12,Undian!$A$10:$D$18,3,FALSE))</f>
        <v/>
      </c>
      <c r="E12">
        <f>IF(B12="","",IFERROR(VLOOKUP(B12,Undian!$A$25:$E$33,4,FALSE),""))</f>
        <v/>
      </c>
      <c r="I12" t="n">
        <v>6.67</v>
      </c>
      <c r="J12">
        <f>IF(H12="",0,H12*I12)</f>
        <v/>
      </c>
    </row>
    <row r="13">
      <c r="A13" t="n">
        <v>7</v>
      </c>
      <c r="C13">
        <f>IF(B13="","",VLOOKUP(B13,Undian!$A$10:$D$18,2,FALSE))</f>
        <v/>
      </c>
      <c r="D13">
        <f>IF(B13="","",VLOOKUP(B13,Undian!$A$10:$D$18,3,FALSE))</f>
        <v/>
      </c>
      <c r="E13">
        <f>IF(B13="","",IFERROR(VLOOKUP(B13,Undian!$A$25:$E$33,4,FALSE),""))</f>
        <v/>
      </c>
      <c r="I13" t="n">
        <v>6.67</v>
      </c>
      <c r="J13">
        <f>IF(H13="",0,H13*I13)</f>
        <v/>
      </c>
    </row>
    <row r="14">
      <c r="A14" t="n">
        <v>8</v>
      </c>
      <c r="C14">
        <f>IF(B14="","",VLOOKUP(B14,Undian!$A$10:$D$18,2,FALSE))</f>
        <v/>
      </c>
      <c r="D14">
        <f>IF(B14="","",VLOOKUP(B14,Undian!$A$10:$D$18,3,FALSE))</f>
        <v/>
      </c>
      <c r="E14">
        <f>IF(B14="","",IFERROR(VLOOKUP(B14,Undian!$A$25:$E$33,4,FALSE),""))</f>
        <v/>
      </c>
      <c r="I14" t="n">
        <v>6.67</v>
      </c>
      <c r="J14">
        <f>IF(H14="",0,H14*I14)</f>
        <v/>
      </c>
    </row>
    <row r="15">
      <c r="A15" t="n">
        <v>9</v>
      </c>
      <c r="C15">
        <f>IF(B15="","",VLOOKUP(B15,Undian!$A$10:$D$18,2,FALSE))</f>
        <v/>
      </c>
      <c r="D15">
        <f>IF(B15="","",VLOOKUP(B15,Undian!$A$10:$D$18,3,FALSE))</f>
        <v/>
      </c>
      <c r="E15">
        <f>IF(B15="","",IFERROR(VLOOKUP(B15,Undian!$A$25:$E$33,4,FALSE),""))</f>
        <v/>
      </c>
      <c r="I15" t="n">
        <v>6.67</v>
      </c>
      <c r="J15">
        <f>IF(H15="",0,H15*I15)</f>
        <v/>
      </c>
    </row>
    <row r="16">
      <c r="E16" s="4" t="inlineStr">
        <is>
          <t>TOTAL MODUL E</t>
        </is>
      </c>
      <c r="I16" t="n">
        <v>60</v>
      </c>
      <c r="J16">
        <f>SUM(J7:J15)</f>
        <v/>
      </c>
    </row>
    <row r="18">
      <c r="A18" t="inlineStr">
        <is>
          <t>Pelanggaran (1=ya):</t>
        </is>
      </c>
    </row>
    <row r="19">
      <c r="A19" t="inlineStr">
        <is>
          <t>Sentuh laptop setelah SIAP</t>
        </is>
      </c>
      <c r="B19" t="n">
        <v>0</v>
      </c>
    </row>
    <row r="20">
      <c r="A20" t="inlineStr">
        <is>
          <t>Sentuh robot setelah START</t>
        </is>
      </c>
      <c r="B20" t="n">
        <v>0</v>
      </c>
    </row>
    <row r="21">
      <c r="A21" t="inlineStr">
        <is>
          <t>Tidak start via tombol robot</t>
        </is>
      </c>
      <c r="B21" t="n">
        <v>0</v>
      </c>
    </row>
    <row r="22">
      <c r="A22" t="inlineStr">
        <is>
          <t>Place manual oleh peserta</t>
        </is>
      </c>
      <c r="B22" t="n">
        <v>0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8" customWidth="1" min="6" max="6"/>
    <col width="14" customWidth="1" min="7" max="7"/>
    <col width="12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LEMBAR UNDIAN POSISI KUBUS — LKS 2026</t>
        </is>
      </c>
    </row>
    <row r="3">
      <c r="A3" s="4" t="inlineStr">
        <is>
          <t>Run ID:</t>
        </is>
      </c>
      <c r="D3" s="4" t="inlineStr">
        <is>
          <t>Tim No:</t>
        </is>
      </c>
      <c r="G3" s="4" t="inlineStr">
        <is>
          <t>Nama Tim:</t>
        </is>
      </c>
    </row>
    <row r="4">
      <c r="A4" s="4" t="inlineStr">
        <is>
          <t>Hari:</t>
        </is>
      </c>
      <c r="D4" s="4" t="inlineStr">
        <is>
          <t>Tanggal:</t>
        </is>
      </c>
      <c r="G4" s="4" t="inlineStr">
        <is>
          <t>Arena No:</t>
        </is>
      </c>
    </row>
    <row r="5">
      <c r="A5" s="4" t="inlineStr">
        <is>
          <t>Fase:</t>
        </is>
      </c>
      <c r="D5" s="4" t="inlineStr">
        <is>
          <t>Juru Acak:</t>
        </is>
      </c>
      <c r="G5" s="4" t="inlineStr">
        <is>
          <t>Juri Saksi:</t>
        </is>
      </c>
    </row>
    <row r="6">
      <c r="A6" s="4" t="inlineStr">
        <is>
          <t>Waktu Undian:</t>
        </is>
      </c>
    </row>
    <row r="8">
      <c r="A8" s="5" t="inlineStr">
        <is>
          <t>KATALOG KUBUS (referensi — 9 buah)</t>
        </is>
      </c>
    </row>
    <row r="9">
      <c r="A9" s="2" t="inlineStr">
        <is>
          <t>ID Kubus</t>
        </is>
      </c>
      <c r="B9" s="2" t="inlineStr">
        <is>
          <t>Warna</t>
        </is>
      </c>
      <c r="C9" s="2" t="inlineStr">
        <is>
          <t>Bentuk</t>
        </is>
      </c>
      <c r="D9" s="2" t="inlineStr">
        <is>
          <t>RGB</t>
        </is>
      </c>
    </row>
    <row r="10">
      <c r="A10" t="inlineStr">
        <is>
          <t>K-M1</t>
        </is>
      </c>
      <c r="B10" t="inlineStr">
        <is>
          <t>Merah</t>
        </is>
      </c>
      <c r="C10" t="inlineStr">
        <is>
          <t>Lingkaran</t>
        </is>
      </c>
      <c r="D10" t="inlineStr">
        <is>
          <t>255-0-0</t>
        </is>
      </c>
    </row>
    <row r="11">
      <c r="A11" t="inlineStr">
        <is>
          <t>K-M2</t>
        </is>
      </c>
      <c r="B11" t="inlineStr">
        <is>
          <t>Merah</t>
        </is>
      </c>
      <c r="C11" t="inlineStr">
        <is>
          <t>Persegi</t>
        </is>
      </c>
      <c r="D11" t="inlineStr">
        <is>
          <t>255-0-0</t>
        </is>
      </c>
    </row>
    <row r="12">
      <c r="A12" t="inlineStr">
        <is>
          <t>K-M3</t>
        </is>
      </c>
      <c r="B12" t="inlineStr">
        <is>
          <t>Merah</t>
        </is>
      </c>
      <c r="C12" t="inlineStr">
        <is>
          <t>Segitiga</t>
        </is>
      </c>
      <c r="D12" t="inlineStr">
        <is>
          <t>255-0-0</t>
        </is>
      </c>
    </row>
    <row r="13">
      <c r="A13" t="inlineStr">
        <is>
          <t>K-H1</t>
        </is>
      </c>
      <c r="B13" t="inlineStr">
        <is>
          <t>Hijau</t>
        </is>
      </c>
      <c r="C13" t="inlineStr">
        <is>
          <t>Lingkaran</t>
        </is>
      </c>
      <c r="D13" t="inlineStr">
        <is>
          <t>0-255-0</t>
        </is>
      </c>
    </row>
    <row r="14">
      <c r="A14" t="inlineStr">
        <is>
          <t>K-H2</t>
        </is>
      </c>
      <c r="B14" t="inlineStr">
        <is>
          <t>Hijau</t>
        </is>
      </c>
      <c r="C14" t="inlineStr">
        <is>
          <t>Persegi</t>
        </is>
      </c>
      <c r="D14" t="inlineStr">
        <is>
          <t>0-255-0</t>
        </is>
      </c>
    </row>
    <row r="15">
      <c r="A15" t="inlineStr">
        <is>
          <t>K-H3</t>
        </is>
      </c>
      <c r="B15" t="inlineStr">
        <is>
          <t>Hijau</t>
        </is>
      </c>
      <c r="C15" t="inlineStr">
        <is>
          <t>Segitiga</t>
        </is>
      </c>
      <c r="D15" t="inlineStr">
        <is>
          <t>0-255-0</t>
        </is>
      </c>
    </row>
    <row r="16">
      <c r="A16" t="inlineStr">
        <is>
          <t>K-B1</t>
        </is>
      </c>
      <c r="B16" t="inlineStr">
        <is>
          <t>Biru</t>
        </is>
      </c>
      <c r="C16" t="inlineStr">
        <is>
          <t>Lingkaran</t>
        </is>
      </c>
      <c r="D16" t="inlineStr">
        <is>
          <t>0-0-255</t>
        </is>
      </c>
    </row>
    <row r="17">
      <c r="A17" t="inlineStr">
        <is>
          <t>K-B2</t>
        </is>
      </c>
      <c r="B17" t="inlineStr">
        <is>
          <t>Biru</t>
        </is>
      </c>
      <c r="C17" t="inlineStr">
        <is>
          <t>Persegi</t>
        </is>
      </c>
      <c r="D17" t="inlineStr">
        <is>
          <t>0-0-255</t>
        </is>
      </c>
    </row>
    <row r="18">
      <c r="A18" t="inlineStr">
        <is>
          <t>K-B3</t>
        </is>
      </c>
      <c r="B18" t="inlineStr">
        <is>
          <t>Biru</t>
        </is>
      </c>
      <c r="C18" t="inlineStr">
        <is>
          <t>Segitiga</t>
        </is>
      </c>
      <c r="D18" t="inlineStr">
        <is>
          <t>0-0-255</t>
        </is>
      </c>
    </row>
    <row r="20">
      <c r="A20" s="5" t="inlineStr">
        <is>
          <t>KONFIGURASI MARKER RAK (isi warna: Merah / Hijau / Biru)</t>
        </is>
      </c>
    </row>
    <row r="21">
      <c r="A21" s="2" t="inlineStr">
        <is>
          <t>R1-S1 (kiri)</t>
        </is>
      </c>
      <c r="B21" s="2" t="inlineStr">
        <is>
          <t>R1-S2 (tengah)</t>
        </is>
      </c>
      <c r="C21" s="2" t="inlineStr">
        <is>
          <t>R1-S3 (kanan)</t>
        </is>
      </c>
      <c r="D21" s="2" t="inlineStr">
        <is>
          <t>R2-S1</t>
        </is>
      </c>
      <c r="E21" s="2" t="inlineStr">
        <is>
          <t>R2-S2</t>
        </is>
      </c>
      <c r="F21" s="2" t="inlineStr">
        <is>
          <t>R2-S3</t>
        </is>
      </c>
      <c r="G21" s="2" t="inlineStr">
        <is>
          <t>R3-S1</t>
        </is>
      </c>
      <c r="H21" s="2" t="inlineStr">
        <is>
          <t>R3-S2</t>
        </is>
      </c>
      <c r="I21" s="2" t="inlineStr">
        <is>
          <t>R3-S3</t>
        </is>
      </c>
    </row>
    <row r="23">
      <c r="A23" s="5" t="inlineStr">
        <is>
          <t>POSISI AWAL SETELAH UNDIAN (isi ID kubus — kolom lain otomatis)</t>
        </is>
      </c>
    </row>
    <row r="24">
      <c r="A24" s="2" t="inlineStr">
        <is>
          <t>ID Kubus</t>
        </is>
      </c>
      <c r="B24" s="2" t="inlineStr">
        <is>
          <t>Warna</t>
        </is>
      </c>
      <c r="C24" s="2" t="inlineStr">
        <is>
          <t>Bentuk</t>
        </is>
      </c>
      <c r="D24" s="2" t="inlineStr">
        <is>
          <t>Lokasi Awal</t>
        </is>
      </c>
      <c r="E24" s="2" t="inlineStr">
        <is>
          <t>Rak/Stand</t>
        </is>
      </c>
      <c r="F24" s="2" t="inlineStr">
        <is>
          <t>Slot</t>
        </is>
      </c>
      <c r="G24" s="2" t="inlineStr">
        <is>
          <t>Sudah Benar (1/0)</t>
        </is>
      </c>
      <c r="H24" s="2" t="inlineStr">
        <is>
          <t>Target Rak</t>
        </is>
      </c>
      <c r="I24" s="2" t="inlineStr">
        <is>
          <t>Target Marker</t>
        </is>
      </c>
      <c r="J24" s="2" t="inlineStr">
        <is>
          <t>Perlu Dipindah?</t>
        </is>
      </c>
      <c r="K24" s="2" t="inlineStr">
        <is>
          <t>Catatan</t>
        </is>
      </c>
    </row>
    <row r="25">
      <c r="B25">
        <f>IF(A25="","",VLOOKUP(A25,$A$10:$D$18,2,FALSE))</f>
        <v/>
      </c>
      <c r="C25">
        <f>IF(A25="","",VLOOKUP(A25,$A$10:$D$18,3,FALSE))</f>
        <v/>
      </c>
      <c r="J25">
        <f>IF(G25="","",IF(G25=1,0,1))</f>
        <v/>
      </c>
    </row>
    <row r="26">
      <c r="B26">
        <f>IF(A26="","",VLOOKUP(A26,$A$10:$D$18,2,FALSE))</f>
        <v/>
      </c>
      <c r="C26">
        <f>IF(A26="","",VLOOKUP(A26,$A$10:$D$18,3,FALSE))</f>
        <v/>
      </c>
      <c r="J26">
        <f>IF(G26="","",IF(G26=1,0,1))</f>
        <v/>
      </c>
    </row>
    <row r="27">
      <c r="B27">
        <f>IF(A27="","",VLOOKUP(A27,$A$10:$D$18,2,FALSE))</f>
        <v/>
      </c>
      <c r="C27">
        <f>IF(A27="","",VLOOKUP(A27,$A$10:$D$18,3,FALSE))</f>
        <v/>
      </c>
      <c r="J27">
        <f>IF(G27="","",IF(G27=1,0,1))</f>
        <v/>
      </c>
    </row>
    <row r="28">
      <c r="B28">
        <f>IF(A28="","",VLOOKUP(A28,$A$10:$D$18,2,FALSE))</f>
        <v/>
      </c>
      <c r="C28">
        <f>IF(A28="","",VLOOKUP(A28,$A$10:$D$18,3,FALSE))</f>
        <v/>
      </c>
      <c r="J28">
        <f>IF(G28="","",IF(G28=1,0,1))</f>
        <v/>
      </c>
    </row>
    <row r="29">
      <c r="B29">
        <f>IF(A29="","",VLOOKUP(A29,$A$10:$D$18,2,FALSE))</f>
        <v/>
      </c>
      <c r="C29">
        <f>IF(A29="","",VLOOKUP(A29,$A$10:$D$18,3,FALSE))</f>
        <v/>
      </c>
      <c r="J29">
        <f>IF(G29="","",IF(G29=1,0,1))</f>
        <v/>
      </c>
    </row>
    <row r="30">
      <c r="B30">
        <f>IF(A30="","",VLOOKUP(A30,$A$10:$D$18,2,FALSE))</f>
        <v/>
      </c>
      <c r="C30">
        <f>IF(A30="","",VLOOKUP(A30,$A$10:$D$18,3,FALSE))</f>
        <v/>
      </c>
      <c r="J30">
        <f>IF(G30="","",IF(G30=1,0,1))</f>
        <v/>
      </c>
    </row>
    <row r="31">
      <c r="B31">
        <f>IF(A31="","",VLOOKUP(A31,$A$10:$D$18,2,FALSE))</f>
        <v/>
      </c>
      <c r="C31">
        <f>IF(A31="","",VLOOKUP(A31,$A$10:$D$18,3,FALSE))</f>
        <v/>
      </c>
      <c r="J31">
        <f>IF(G31="","",IF(G31=1,0,1))</f>
        <v/>
      </c>
    </row>
    <row r="32">
      <c r="B32">
        <f>IF(A32="","",VLOOKUP(A32,$A$10:$D$18,2,FALSE))</f>
        <v/>
      </c>
      <c r="C32">
        <f>IF(A32="","",VLOOKUP(A32,$A$10:$D$18,3,FALSE))</f>
        <v/>
      </c>
      <c r="J32">
        <f>IF(G32="","",IF(G32=1,0,1))</f>
        <v/>
      </c>
    </row>
    <row r="33">
      <c r="B33">
        <f>IF(A33="","",VLOOKUP(A33,$A$10:$D$18,2,FALSE))</f>
        <v/>
      </c>
      <c r="C33">
        <f>IF(A33="","",VLOOKUP(A33,$A$10:$D$18,3,FALSE))</f>
        <v/>
      </c>
      <c r="J33">
        <f>IF(G33="","",IF(G33=1,0,1))</f>
        <v/>
      </c>
    </row>
    <row r="35">
      <c r="A35" s="4" t="inlineStr">
        <is>
          <t>OBSTACLE (catat area / deskripsi posisi)</t>
        </is>
      </c>
    </row>
    <row r="36">
      <c r="A36" s="2" t="inlineStr">
        <is>
          <t>Obs 1</t>
        </is>
      </c>
      <c r="B36" s="2" t="inlineStr">
        <is>
          <t>Obs 2</t>
        </is>
      </c>
      <c r="C36" s="2" t="inlineStr">
        <is>
          <t>Obs 3</t>
        </is>
      </c>
      <c r="D36" s="2" t="inlineStr">
        <is>
          <t>Obs 4</t>
        </is>
      </c>
      <c r="E36" s="2" t="inlineStr">
        <is>
          <t>Obs 5</t>
        </is>
      </c>
      <c r="F36" s="2" t="inlineStr">
        <is>
          <t>Obs 6</t>
        </is>
      </c>
      <c r="G36" s="2" t="inlineStr">
        <is>
          <t>Obs 7</t>
        </is>
      </c>
      <c r="H36" s="2" t="inlineStr">
        <is>
          <t>Obs 8</t>
        </is>
      </c>
      <c r="I36" s="2" t="inlineStr">
        <is>
          <t>Obs 9</t>
        </is>
      </c>
      <c r="J36" s="2" t="inlineStr">
        <is>
          <t>Obs 10</t>
        </is>
      </c>
    </row>
    <row r="38">
      <c r="A38" t="inlineStr">
        <is>
          <t>Tanda tangan Juru Acak:</t>
        </is>
      </c>
      <c r="D38" t="inlineStr">
        <is>
          <t>Tanda tangan Juri:</t>
        </is>
      </c>
      <c r="G38" t="inlineStr">
        <is>
          <t>Tanda tangan Peserta (saksi):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LEMBAR LOG RUN OTONOM — LKS 2026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Kontingen:</t>
        </is>
      </c>
      <c r="G3" t="inlineStr">
        <is>
          <t>Arena No:</t>
        </is>
      </c>
    </row>
    <row r="4">
      <c r="A4" t="inlineStr">
        <is>
          <t>Hari:</t>
        </is>
      </c>
      <c r="C4" t="inlineStr">
        <is>
          <t>Tanggal:</t>
        </is>
      </c>
      <c r="E4" t="inlineStr">
        <is>
          <t>Juri Penilai:</t>
        </is>
      </c>
      <c r="G4" t="inlineStr">
        <is>
          <t>Juri Pendamping:</t>
        </is>
      </c>
    </row>
    <row r="6">
      <c r="A6" s="4" t="inlineStr">
        <is>
          <t>DATA RUN</t>
        </is>
      </c>
    </row>
    <row r="7">
      <c r="A7" s="4" t="inlineStr">
        <is>
          <t>Run No:</t>
        </is>
      </c>
      <c r="D7" s="4" t="inlineStr">
        <is>
          <t>Run ID:</t>
        </is>
      </c>
      <c r="G7" s="4" t="inlineStr">
        <is>
          <t>Trial/Final:</t>
        </is>
      </c>
    </row>
    <row r="8">
      <c r="A8" s="4" t="inlineStr">
        <is>
          <t>Waktu SIAP:</t>
        </is>
      </c>
      <c r="D8" s="4" t="inlineStr">
        <is>
          <t>Waktu START:</t>
        </is>
      </c>
      <c r="G8" s="4" t="inlineStr">
        <is>
          <t>Waktu Selesai:</t>
        </is>
      </c>
    </row>
    <row r="9">
      <c r="A9" s="4" t="inlineStr">
        <is>
          <t>Undian ulang (1/0):</t>
        </is>
      </c>
      <c r="D9" s="4" t="inlineStr">
        <is>
          <t>Retry (1/0):</t>
        </is>
      </c>
      <c r="G9" s="4" t="inlineStr">
        <is>
          <t>Retry No:</t>
        </is>
      </c>
    </row>
    <row r="11">
      <c r="A11" s="4" t="inlineStr">
        <is>
          <t>CHECKLIST PROSEDUR JURI (isi 1 = selesai)</t>
        </is>
      </c>
    </row>
    <row r="12">
      <c r="A12" s="2" t="inlineStr">
        <is>
          <t>No</t>
        </is>
      </c>
      <c r="B12" s="2" t="inlineStr">
        <is>
          <t>Item</t>
        </is>
      </c>
      <c r="C12" s="2" t="inlineStr">
        <is>
          <t>OK (1/0)</t>
        </is>
      </c>
    </row>
    <row r="13">
      <c r="A13" t="n">
        <v>1</v>
      </c>
      <c r="B13" t="inlineStr">
        <is>
          <t>Layout arena dijelaskan ke peserta</t>
        </is>
      </c>
      <c r="C13" t="inlineStr"/>
    </row>
    <row r="14">
      <c r="A14" t="n">
        <v>2</v>
      </c>
      <c r="B14" t="inlineStr">
        <is>
          <t>Peserta nyatakan SIAP</t>
        </is>
      </c>
      <c r="C14" t="inlineStr"/>
    </row>
    <row r="15">
      <c r="A15" t="n">
        <v>3</v>
      </c>
      <c r="B15" t="inlineStr">
        <is>
          <t>Laptop tidak disentuh setelah SIAP</t>
        </is>
      </c>
      <c r="C15" t="inlineStr"/>
    </row>
    <row r="16">
      <c r="A16" t="n">
        <v>4</v>
      </c>
      <c r="B16" t="inlineStr">
        <is>
          <t>Posisi kubus diacak / diacak ulang</t>
        </is>
      </c>
      <c r="C16" t="inlineStr"/>
    </row>
    <row r="17">
      <c r="A17" t="n">
        <v>5</v>
      </c>
      <c r="B17" t="inlineStr">
        <is>
          <t>Sinyal START diberikan</t>
        </is>
      </c>
      <c r="C17" t="inlineStr"/>
    </row>
    <row r="18">
      <c r="A18" t="n">
        <v>6</v>
      </c>
      <c r="B18" t="inlineStr">
        <is>
          <t>Peserta tekan tombol START di robot</t>
        </is>
      </c>
      <c r="C18" t="inlineStr"/>
    </row>
    <row r="19">
      <c r="A19" t="n">
        <v>7</v>
      </c>
      <c r="B19" t="inlineStr">
        <is>
          <t>Run berjalan otonom</t>
        </is>
      </c>
      <c r="C19" t="inlineStr"/>
    </row>
    <row r="20">
      <c r="A20" t="n">
        <v>8</v>
      </c>
      <c r="B20" t="inlineStr">
        <is>
          <t>Hasil dicatat di sheet Modul E</t>
        </is>
      </c>
      <c r="C20" t="inlineStr"/>
    </row>
    <row r="22">
      <c r="A22" t="inlineStr">
        <is>
          <t>Checklist selesai:</t>
        </is>
      </c>
      <c r="B22">
        <f>IF(COUNTIF(C13:C20,1)=8,"LENGKAP","BELUM")</f>
        <v/>
      </c>
    </row>
    <row r="24">
      <c r="A24" s="4" t="inlineStr">
        <is>
          <t>KRONOLOGI KEJADIAN</t>
        </is>
      </c>
    </row>
    <row r="25">
      <c r="A25" s="2" t="inlineStr">
        <is>
          <t>Waktu</t>
        </is>
      </c>
      <c r="B25" s="2" t="inlineStr">
        <is>
          <t>Kejadian</t>
        </is>
      </c>
      <c r="C25" s="2" t="inlineStr">
        <is>
          <t>Catatan</t>
        </is>
      </c>
    </row>
    <row r="26">
      <c r="A26" t="inlineStr"/>
      <c r="B26" t="inlineStr">
        <is>
          <t>Robot start dari posisi start</t>
        </is>
      </c>
      <c r="C26" t="inlineStr"/>
    </row>
    <row r="27">
      <c r="A27" t="inlineStr"/>
      <c r="B27" t="inlineStr">
        <is>
          <t>Navigasi / pick / place</t>
        </is>
      </c>
      <c r="C27" t="inlineStr"/>
    </row>
    <row r="28">
      <c r="A28" t="inlineStr"/>
      <c r="B28" t="inlineStr">
        <is>
          <t>Robot selesai / timeout / STOP</t>
        </is>
      </c>
      <c r="C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5">
      <c r="A35" s="4" t="inlineStr">
        <is>
          <t>HASIL SINGKAT</t>
        </is>
      </c>
    </row>
    <row r="36">
      <c r="A36" t="inlineStr">
        <is>
          <t>Kubus berhasil ditempatkan benar:</t>
        </is>
      </c>
      <c r="C36">
        <f>COUNTIF('Modul E'!H7:H15,1)</f>
        <v/>
      </c>
      <c r="D36" t="inlineStr">
        <is>
          <t>/ 9</t>
        </is>
      </c>
    </row>
    <row r="37">
      <c r="A37" t="inlineStr">
        <is>
          <t>Skor Modul E run ini:</t>
        </is>
      </c>
      <c r="C37">
        <f>'Modul E'!J16</f>
        <v/>
      </c>
      <c r="D37" t="inlineStr">
        <is>
          <t>/ 60</t>
        </is>
      </c>
    </row>
    <row r="38">
      <c r="A38" t="inlineStr">
        <is>
          <t>Pelanggaran (ya/tidak):</t>
        </is>
      </c>
      <c r="C38" t="inlineStr"/>
    </row>
    <row r="39">
      <c r="A39" t="inlineStr">
        <is>
          <t>Jenis pelanggaran:</t>
        </is>
      </c>
      <c r="C39" t="inlineStr"/>
    </row>
    <row r="41">
      <c r="A41" t="inlineStr">
        <is>
          <t>Tanda tangan Juri:</t>
        </is>
      </c>
      <c r="D41" t="inlineStr">
        <is>
          <t>Tanda tangan Peserta:</t>
        </is>
      </c>
      <c r="G41" t="inlineStr">
        <is>
          <t>Tanda tangan Chief Expert: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REKAPITULASI SKOR — Robot Bergerak Otonom LKS 2026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Kontingen:</t>
        </is>
      </c>
    </row>
    <row r="5">
      <c r="A5" s="2" t="inlineStr">
        <is>
          <t>Modul</t>
        </is>
      </c>
      <c r="B5" s="2" t="inlineStr">
        <is>
          <t>Kriteria</t>
        </is>
      </c>
      <c r="C5" s="2" t="inlineStr">
        <is>
          <t>Bobot Max</t>
        </is>
      </c>
      <c r="D5" s="2" t="inlineStr">
        <is>
          <t>Skor</t>
        </is>
      </c>
      <c r="E5" s="2" t="inlineStr">
        <is>
          <t>Persen</t>
        </is>
      </c>
      <c r="F5" s="2" t="inlineStr">
        <is>
          <t>Metode</t>
        </is>
      </c>
    </row>
    <row r="6">
      <c r="A6" t="inlineStr">
        <is>
          <t>A</t>
        </is>
      </c>
      <c r="B6" t="inlineStr">
        <is>
          <t>Organisasi &amp; Manajemen Kerja</t>
        </is>
      </c>
      <c r="C6" t="n">
        <v>8</v>
      </c>
      <c r="D6">
        <f>'Modul A'!H11</f>
        <v/>
      </c>
      <c r="E6">
        <f>IF(C6=0,0,D6/C6*100)</f>
        <v/>
      </c>
      <c r="F6" t="inlineStr">
        <is>
          <t>J</t>
        </is>
      </c>
    </row>
    <row r="7">
      <c r="A7" t="inlineStr">
        <is>
          <t>B</t>
        </is>
      </c>
      <c r="B7" t="inlineStr">
        <is>
          <t>Jurnal Teknis</t>
        </is>
      </c>
      <c r="C7" t="n">
        <v>10</v>
      </c>
      <c r="D7">
        <f>'Modul B'!I15</f>
        <v/>
      </c>
      <c r="E7">
        <f>IF(C7=0,0,D7/C7*100)</f>
        <v/>
      </c>
      <c r="F7" t="inlineStr">
        <is>
          <t>J+M</t>
        </is>
      </c>
    </row>
    <row r="8">
      <c r="A8" t="inlineStr">
        <is>
          <t>C</t>
        </is>
      </c>
      <c r="B8" t="inlineStr">
        <is>
          <t>Perakitan Robot</t>
        </is>
      </c>
      <c r="C8" t="n">
        <v>10</v>
      </c>
      <c r="D8">
        <f>'Modul C'!H11</f>
        <v/>
      </c>
      <c r="E8">
        <f>IF(C8=0,0,D8/C8*100)</f>
        <v/>
      </c>
      <c r="F8" t="inlineStr">
        <is>
          <t>J</t>
        </is>
      </c>
    </row>
    <row r="9">
      <c r="A9" t="inlineStr">
        <is>
          <t>D</t>
        </is>
      </c>
      <c r="B9" t="inlineStr">
        <is>
          <t>Gerakan Dasar</t>
        </is>
      </c>
      <c r="C9" t="n">
        <v>12</v>
      </c>
      <c r="D9">
        <f>'Modul D'!F21</f>
        <v/>
      </c>
      <c r="E9">
        <f>IF(C9=0,0,D9/C9*100)</f>
        <v/>
      </c>
      <c r="F9" t="inlineStr">
        <is>
          <t>M</t>
        </is>
      </c>
    </row>
    <row r="10">
      <c r="A10" t="inlineStr">
        <is>
          <t>E</t>
        </is>
      </c>
      <c r="B10" t="inlineStr">
        <is>
          <t>Performa Otonom</t>
        </is>
      </c>
      <c r="C10" t="n">
        <v>60</v>
      </c>
      <c r="D10">
        <f>'Modul E'!J16</f>
        <v/>
      </c>
      <c r="E10">
        <f>IF(C10=0,0,D10/C10*100)</f>
        <v/>
      </c>
      <c r="F10" t="inlineStr">
        <is>
          <t>M</t>
        </is>
      </c>
    </row>
    <row r="11">
      <c r="B11" s="4" t="inlineStr">
        <is>
          <t>TOTAL</t>
        </is>
      </c>
      <c r="C11" t="n">
        <v>100</v>
      </c>
      <c r="D11">
        <f>SUM(D6:D10)</f>
        <v/>
      </c>
      <c r="E11">
        <f>D11</f>
        <v/>
      </c>
    </row>
    <row r="13">
      <c r="A13" t="inlineStr">
        <is>
          <t>Skor CIS (0-100):</t>
        </is>
      </c>
    </row>
    <row r="14">
      <c r="A14" t="inlineStr">
        <is>
          <t>Skor Konversi (700):</t>
        </is>
      </c>
    </row>
    <row r="15">
      <c r="A15" t="inlineStr">
        <is>
          <t>Medallion (&gt;700):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2026-06-23T22:52:25Z</dcterms:created>
  <dcterms:modified xmlns:dcterms="http://purl.org/dc/terms/" xmlns:xsi="http://www.w3.org/2001/XMLSchema-instance" xsi:type="dcterms:W3CDTF">2026-06-23T22:52:25Z</dcterms:modified>
</cp:coreProperties>
</file>